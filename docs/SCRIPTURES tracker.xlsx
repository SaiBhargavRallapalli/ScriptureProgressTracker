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8.xml"/>
  <Override ContentType="application/vnd.openxmlformats-officedocument.spreadsheetml.table+xml" PartName="/xl/tables/table13.xml"/>
  <Override ContentType="application/vnd.openxmlformats-officedocument.spreadsheetml.table+xml" PartName="/xl/tables/table4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15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11.xml"/>
  <Override ContentType="application/vnd.openxmlformats-officedocument.spreadsheetml.table+xml" PartName="/xl/tables/table5.xml"/>
  <Override ContentType="application/vnd.openxmlformats-officedocument.spreadsheetml.table+xml" PartName="/xl/tables/table20.xml"/>
  <Override ContentType="application/vnd.openxmlformats-officedocument.spreadsheetml.table+xml" PartName="/xl/tables/table3.xml"/>
  <Override ContentType="application/vnd.openxmlformats-officedocument.spreadsheetml.table+xml" PartName="/xl/tables/table17.xml"/>
  <Override ContentType="application/vnd.openxmlformats-officedocument.spreadsheetml.table+xml" PartName="/xl/tables/table19.xml"/>
  <Override ContentType="application/vnd.openxmlformats-officedocument.spreadsheetml.table+xml" PartName="/xl/tables/table10.xml"/>
  <Override ContentType="application/vnd.openxmlformats-officedocument.spreadsheetml.table+xml" PartName="/xl/tables/table7.xml"/>
  <Override ContentType="application/vnd.openxmlformats-officedocument.spreadsheetml.table+xml" PartName="/xl/tables/table16.xml"/>
  <Override ContentType="application/vnd.openxmlformats-officedocument.spreadsheetml.table+xml" PartName="/xl/tables/table14.xml"/>
  <Override ContentType="application/vnd.openxmlformats-officedocument.spreadsheetml.table+xml" PartName="/xl/tables/table12.xml"/>
  <Override ContentType="application/vnd.openxmlformats-officedocument.spreadsheetml.table+xml" PartName="/xl/tables/table9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7.xml"/>
  <Override ContentType="application/vnd.openxmlformats-officedocument.drawingml.chart+xml" PartName="/xl/charts/chart27.xml"/>
  <Override ContentType="application/vnd.openxmlformats-officedocument.drawingml.chart+xml" PartName="/xl/charts/chart14.xml"/>
  <Override ContentType="application/vnd.openxmlformats-officedocument.drawingml.chart+xml" PartName="/xl/charts/chart18.xml"/>
  <Override ContentType="application/vnd.openxmlformats-officedocument.drawingml.chart+xml" PartName="/xl/charts/chart13.xml"/>
  <Override ContentType="application/vnd.openxmlformats-officedocument.drawingml.chart+xml" PartName="/xl/charts/chart26.xml"/>
  <Override ContentType="application/vnd.openxmlformats-officedocument.drawingml.chart+xml" PartName="/xl/charts/chart2.xml"/>
  <Override ContentType="application/vnd.openxmlformats-officedocument.drawingml.chart+xml" PartName="/xl/charts/chart22.xml"/>
  <Override ContentType="application/vnd.openxmlformats-officedocument.drawingml.chart+xml" PartName="/xl/charts/chart8.xml"/>
  <Override ContentType="application/vnd.openxmlformats-officedocument.drawingml.chart+xml" PartName="/xl/charts/chart17.xml"/>
  <Override ContentType="application/vnd.openxmlformats-officedocument.drawingml.chart+xml" PartName="/xl/charts/chart25.xml"/>
  <Override ContentType="application/vnd.openxmlformats-officedocument.drawingml.chart+xml" PartName="/xl/charts/chart12.xml"/>
  <Override ContentType="application/vnd.openxmlformats-officedocument.drawingml.chart+xml" PartName="/xl/charts/chart21.xml"/>
  <Override ContentType="application/vnd.openxmlformats-officedocument.drawingml.chart+xml" PartName="/xl/charts/chart3.xml"/>
  <Override ContentType="application/vnd.openxmlformats-officedocument.drawingml.chart+xml" PartName="/xl/charts/chart16.xml"/>
  <Override ContentType="application/vnd.openxmlformats-officedocument.drawingml.chart+xml" PartName="/xl/charts/chart11.xml"/>
  <Override ContentType="application/vnd.openxmlformats-officedocument.drawingml.chart+xml" PartName="/xl/charts/chart4.xml"/>
  <Override ContentType="application/vnd.openxmlformats-officedocument.drawingml.chart+xml" PartName="/xl/charts/chart20.xml"/>
  <Override ContentType="application/vnd.openxmlformats-officedocument.drawingml.chart+xml" PartName="/xl/charts/chart24.xml"/>
  <Override ContentType="application/vnd.openxmlformats-officedocument.drawingml.chart+xml" PartName="/xl/charts/chart1.xml"/>
  <Override ContentType="application/vnd.openxmlformats-officedocument.drawingml.chart+xml" PartName="/xl/charts/chart10.xml"/>
  <Override ContentType="application/vnd.openxmlformats-officedocument.drawingml.chart+xml" PartName="/xl/charts/chart6.xml"/>
  <Override ContentType="application/vnd.openxmlformats-officedocument.drawingml.chart+xml" PartName="/xl/charts/chart15.xml"/>
  <Override ContentType="application/vnd.openxmlformats-officedocument.drawingml.chart+xml" PartName="/xl/charts/chart9.xml"/>
  <Override ContentType="application/vnd.openxmlformats-officedocument.drawingml.chart+xml" PartName="/xl/charts/chart19.xml"/>
  <Override ContentType="application/vnd.openxmlformats-officedocument.drawingml.chart+xml" PartName="/xl/charts/chart5.xml"/>
  <Override ContentType="application/vnd.openxmlformats-officedocument.drawingml.chart+xml" PartName="/xl/charts/chart23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DITHYA HRIDAYAM" sheetId="1" r:id="rId5"/>
    <sheet state="visible" name="Bhagavadgita Tracker" sheetId="2" r:id="rId6"/>
    <sheet state="visible" name="Sootha Samhitha" sheetId="3" r:id="rId7"/>
    <sheet state="visible" name="Scriptures Tracker" sheetId="4" r:id="rId8"/>
    <sheet state="visible" name="Sandhyavandhanam Tracker" sheetId="5" r:id="rId9"/>
    <sheet state="visible" name="Dashboard" sheetId="6" r:id="rId10"/>
    <sheet state="visible" name="Sanskrit Tracker" sheetId="7" r:id="rId11"/>
    <sheet state="visible" name="Lalitha Tracker" sheetId="8" r:id="rId12"/>
    <sheet state="visible" name="Sri Rudram Tracker" sheetId="9" r:id="rId13"/>
    <sheet state="visible" name="Katha Upanishad" sheetId="11" r:id="rId14"/>
    <sheet state="visible" name="Calc_Data" sheetId="12" r:id="rId15"/>
    <sheet state="visible" name="Devi Bhaagavatham Tracker" sheetId="13" r:id="rId16"/>
    <sheet state="visible" name="Garuda Mahapuranam" sheetId="14" r:id="rId17"/>
    <sheet state="visible" name="Daily Hours" sheetId="15" r:id="rId18"/>
    <sheet state="visible" name="Overall Duration Analysis" sheetId="16" r:id="rId19"/>
  </sheets>
  <definedNames/>
  <calcPr/>
</workbook>
</file>

<file path=xl/sharedStrings.xml><?xml version="1.0" encoding="utf-8"?>
<sst xmlns="http://schemas.openxmlformats.org/spreadsheetml/2006/main" count="962" uniqueCount="413">
  <si>
    <t>repl</t>
  </si>
  <si>
    <t>Master Scriptures Tracker</t>
  </si>
  <si>
    <t>S.No.</t>
  </si>
  <si>
    <t>Scripture</t>
  </si>
  <si>
    <t>Completed</t>
  </si>
  <si>
    <t>pending</t>
  </si>
  <si>
    <t>total</t>
  </si>
  <si>
    <t>Start Date</t>
  </si>
  <si>
    <t>Recent visit</t>
  </si>
  <si>
    <t xml:space="preserve"> Google Sheet Link</t>
  </si>
  <si>
    <t xml:space="preserve"> Youtube Playlist Link</t>
  </si>
  <si>
    <t>Progress</t>
  </si>
  <si>
    <t>Completion %</t>
  </si>
  <si>
    <t xml:space="preserve">Sri Rudram </t>
  </si>
  <si>
    <t>Link</t>
  </si>
  <si>
    <t>Samavedham Guntur Shankar mattham</t>
  </si>
  <si>
    <t>Lalitha Sahasra namam</t>
  </si>
  <si>
    <t>Samavedham Guntur Shankar Mattham Lalitha</t>
  </si>
  <si>
    <t>Katha Upanishad</t>
  </si>
  <si>
    <t>katha upanishad by sarvapriyanandha</t>
  </si>
  <si>
    <t>Devi Bhaagavatham</t>
  </si>
  <si>
    <t>Samavedham Shanmukha Sharma devi bhagavatham</t>
  </si>
  <si>
    <t>Sandhyavandhanam</t>
  </si>
  <si>
    <t>ADITHYA HRIDAYAM</t>
  </si>
  <si>
    <t>Bhagavadgita - Samavedham Shanmukha Sharma</t>
  </si>
  <si>
    <t xml:space="preserve"> </t>
  </si>
  <si>
    <t>Sootha Samhitha - Samavedham Shanmukha Sharma</t>
  </si>
  <si>
    <t>Status</t>
  </si>
  <si>
    <t>Date Completed</t>
  </si>
  <si>
    <t>Notes</t>
  </si>
  <si>
    <t>Video Link</t>
  </si>
  <si>
    <t>Duration</t>
  </si>
  <si>
    <t>Percentage</t>
  </si>
  <si>
    <t>Sanskrit by  Swami Ved Chaitanya</t>
  </si>
  <si>
    <t>Month_Date</t>
  </si>
  <si>
    <t>Videos Completed</t>
  </si>
  <si>
    <t>Pending</t>
  </si>
  <si>
    <t>https://www.youtube.com/watch?v=Ia8nXPWaM2Q</t>
  </si>
  <si>
    <t>https://www.youtube.com/watch?v=r-NZGQ-TX3s</t>
  </si>
  <si>
    <t>Swami Ved Chaitanya</t>
  </si>
  <si>
    <t>https://www.youtube.com/watch?v=yydVIBCfeaw</t>
  </si>
  <si>
    <t>Sootha Samhitha</t>
  </si>
  <si>
    <t>https://www.youtube.com/watch?v=9zHG-rsfpog</t>
  </si>
  <si>
    <t>https://www.youtube.com/watch?v=-nZYq_q2EL8</t>
  </si>
  <si>
    <t xml:space="preserve">Bhagavadgita </t>
  </si>
  <si>
    <t>https://www.youtube.com/watch?v=gGaSzKqclQo</t>
  </si>
  <si>
    <t>https://www.youtube.com/watch?v=hgkV5T51mlM</t>
  </si>
  <si>
    <t>https://www.youtube.com/watch?v=hvKwO67Kh_4</t>
  </si>
  <si>
    <t>Bhagavadgita by Samavedham shanmukha sharma gaaru</t>
  </si>
  <si>
    <t>Total Videos</t>
  </si>
  <si>
    <t>https://www.youtube.com/watch?v=0z6T6GQKNmA</t>
  </si>
  <si>
    <t>https://www.youtube.com/watch?v=d5h9BujLOEk</t>
  </si>
  <si>
    <t>https://www.youtube.com/watch?v=mzJaVECyoSQ</t>
  </si>
  <si>
    <t>Total Hours</t>
  </si>
  <si>
    <t>https://www.youtube.com/watch?v=FdTBpE-Pe50</t>
  </si>
  <si>
    <t>ADITHYA HRIDAYAM BY SAMAVEDHAM</t>
  </si>
  <si>
    <t>https://www.youtube.com/watch?v=34Pa1AGeAcE</t>
  </si>
  <si>
    <t>https://www.youtube.com/watch?v=BH9lpGIyJFQ</t>
  </si>
  <si>
    <t>Pending Hours</t>
  </si>
  <si>
    <t>Garuda Mahapuranam</t>
  </si>
  <si>
    <t>https://www.youtube.com/watch?v=RNd4Zk00B9w</t>
  </si>
  <si>
    <t>https://www.youtube.com/watch?v=kN0jCCO7quU</t>
  </si>
  <si>
    <t>https://www.youtube.com/watch?v=s3UDNQmcAqQ</t>
  </si>
  <si>
    <t>Garuda Mahapuranam by samavedham</t>
  </si>
  <si>
    <t>https://www.youtube.com/watch?v=MsxvP-uPgMM</t>
  </si>
  <si>
    <t>https://www.youtube.com/watch?v=91l_VaeNAAw</t>
  </si>
  <si>
    <t>https://www.youtube.com/watch?v=yfYwH8mhmFM</t>
  </si>
  <si>
    <t>Target Date</t>
  </si>
  <si>
    <t>https://www.youtube.com/watch?v=pwzdplv2UYY</t>
  </si>
  <si>
    <t>https://www.youtube.com/watch?v=nBy9CjDwQPI</t>
  </si>
  <si>
    <t>https://www.youtube.com/watch?v=fhMSLl1jbdQ</t>
  </si>
  <si>
    <t>https://www.youtube.com/watch?v=FLfVZWmv-w4</t>
  </si>
  <si>
    <t>https://www.youtube.com/watch?v=-0W7lzbkL5Q</t>
  </si>
  <si>
    <t>Metric</t>
  </si>
  <si>
    <t>https://www.youtube.com/watch?v=TRYBTgAVHBc</t>
  </si>
  <si>
    <t>Videos</t>
  </si>
  <si>
    <t>https://www.youtube.com/watch?v=qCwUjEsUJVY</t>
  </si>
  <si>
    <t>https://www.youtube.com/watch?v=i1WKGD5CPgs</t>
  </si>
  <si>
    <t>https://www.youtube.com/watch?v=KwjGtkVM-Lg</t>
  </si>
  <si>
    <t>https://www.youtube.com/watch?v=XD8yEhkYfbA</t>
  </si>
  <si>
    <t>https://www.youtube.com/watch?v=hdyD_J2Gu7k</t>
  </si>
  <si>
    <t>https://www.youtube.com/watch?v=N_BBIilQpa8</t>
  </si>
  <si>
    <t>https://www.youtube.com/watch?v=9hs0yYrq-oU</t>
  </si>
  <si>
    <t>https://www.youtube.com/watch?v=hQf1o4Pr1HI</t>
  </si>
  <si>
    <t>https://www.youtube.com/watch?v=kGKimPqRNTE</t>
  </si>
  <si>
    <t>https://www.youtube.com/watch?v=7gZGsqWo8Cc</t>
  </si>
  <si>
    <t>https://www.youtube.com/watch?v=ptIWCg-pd9w</t>
  </si>
  <si>
    <t>https://www.youtube.com/watch?v=R-SgPDzt5xk</t>
  </si>
  <si>
    <t>https://www.youtube.com/watch?v=UPc9Qun3buw</t>
  </si>
  <si>
    <t>https://www.youtube.com/watch?v=T6YfT00P4rY</t>
  </si>
  <si>
    <t>https://www.youtube.com/watch?v=D5JQ-di76NE</t>
  </si>
  <si>
    <t>https://www.youtube.com/watch?v=bEl5Vf68Dl8</t>
  </si>
  <si>
    <t>https://www.youtube.com/watch?v=E7utazPNtz0</t>
  </si>
  <si>
    <t>https://www.youtube.com/watch?v=j77_Txrt6i8</t>
  </si>
  <si>
    <t>https://www.youtube.com/watch?v=nmK_PpDfheI</t>
  </si>
  <si>
    <t>https://www.youtube.com/watch?v=0WRAeRq6Lws</t>
  </si>
  <si>
    <t>https://www.youtube.com/watch?v=1YsIljCyExw</t>
  </si>
  <si>
    <t>Sandhyavandhanam - Samavedham Shanmukha Sharma</t>
  </si>
  <si>
    <t>https://www.youtube.com/watch?v=-l8d99iXhqo</t>
  </si>
  <si>
    <t>Key Takeaways</t>
  </si>
  <si>
    <t>https://www.youtube.com/watch?v=-0t8EC-pix0</t>
  </si>
  <si>
    <t>https://www.youtube.com/watch?v=5MiNNrqCkbU</t>
  </si>
  <si>
    <t>https://www.youtube.com/watch?v=4T3kOPdACAE</t>
  </si>
  <si>
    <t>https://www.youtube.com/watch?v=kWzA7m2jvIA</t>
  </si>
  <si>
    <t>https://www.youtube.com/watch?v=fHrdFyPCICs</t>
  </si>
  <si>
    <t>https://www.youtube.com/watch?v=4tqRPKQCy4U</t>
  </si>
  <si>
    <t>https://www.youtube.com/watch?v=xXxLivvq6YQ</t>
  </si>
  <si>
    <t>https://www.youtube.com/watch?v=LXciEmGzOos</t>
  </si>
  <si>
    <t>https://www.youtube.com/watch?v=fg7WPkkVD_s</t>
  </si>
  <si>
    <t>https://www.youtube.com/watch?v=Ezla0S7JBbk</t>
  </si>
  <si>
    <t>https://www.youtube.com/watch?v=YJj0Vd5phys</t>
  </si>
  <si>
    <t>https://www.youtube.com/watch?v=G6A_XvtkuPs</t>
  </si>
  <si>
    <t>https://www.youtube.com/watch?v=vEvKRUEfCls</t>
  </si>
  <si>
    <t>https://www.youtube.com/watch?v=YpMaV-o03tY</t>
  </si>
  <si>
    <t>https://www.youtube.com/watch?v=zNdf-E-XzX0</t>
  </si>
  <si>
    <t>https://www.youtube.com/watch?v=EGZQWGHbMxw</t>
  </si>
  <si>
    <t>https://www.youtube.com/watch?v=JQ8m51X1CHU</t>
  </si>
  <si>
    <t>https://www.youtube.com/watch?v=jkLvsRufOYY</t>
  </si>
  <si>
    <t>https://www.youtube.com/watch?v=R1KjAR_JLX8</t>
  </si>
  <si>
    <t>https://www.youtube.com/watch?v=j_KHki0fPzU</t>
  </si>
  <si>
    <t>https://www.youtube.com/watch?v=mTqYblbnwyw</t>
  </si>
  <si>
    <t>https://www.youtube.com/watch?v=aXAKg9foWpA</t>
  </si>
  <si>
    <t>Sanskrit Learning Tracker - Ved Chaitanya</t>
  </si>
  <si>
    <t>https://www.youtube.com/watch?v=VLSuK9o8Xks</t>
  </si>
  <si>
    <t>https://www.youtube.com/watch?v=7gUikIn5qjI</t>
  </si>
  <si>
    <t>https://www.youtube.com/watch?v=mnfA1g2YqZ8</t>
  </si>
  <si>
    <t>https://www.youtube.com/watch?v=0tr0gVys__U</t>
  </si>
  <si>
    <t>https://www.youtube.com/watch?v=O31jobQRnrg</t>
  </si>
  <si>
    <t>https://www.youtube.com/watch?v=WRhY6bcRlgI</t>
  </si>
  <si>
    <t>https://www.youtube.com/watch?v=eyxg7OHVebY</t>
  </si>
  <si>
    <t>https://www.youtube.com/watch?v=kDgozf92HnE</t>
  </si>
  <si>
    <t>https://www.youtube.com/watch?v=Y8n1KNZuX4U</t>
  </si>
  <si>
    <t>https://www.youtube.com/watch?v=QyGATMPExP0</t>
  </si>
  <si>
    <t>https://www.youtube.com/watch?v=r89qCiTd7Ms</t>
  </si>
  <si>
    <t xml:space="preserve">                                                                                      Lalitha Sahasranama Pravachanam - Samavedham Shanumukha Sharma</t>
  </si>
  <si>
    <t>https://www.youtube.com/watch?v=vVnL2ilzjSU</t>
  </si>
  <si>
    <t>https://www.youtube.com/watch?v=oxqFa39gU8o</t>
  </si>
  <si>
    <t>https://www.youtube.com/watch?v=NLwW8WSjpwQ</t>
  </si>
  <si>
    <t>https://www.youtube.com/watch?v=J0mm2UO7yY4</t>
  </si>
  <si>
    <t>https://www.youtube.com/watch?v=y_og7DfCD8o</t>
  </si>
  <si>
    <t>https://www.youtube.com/watch?v=bgpUya4UTj0</t>
  </si>
  <si>
    <t>https://www.youtube.com/watch?v=LASOGS1-XYw</t>
  </si>
  <si>
    <t>https://www.youtube.com/watch?v=nZhGjUqvN3E</t>
  </si>
  <si>
    <t>https://www.youtube.com/watch?v=bSfT3GDG65I</t>
  </si>
  <si>
    <t>https://www.youtube.com/watch?v=pnsh6Kn6fD4</t>
  </si>
  <si>
    <t>https://www.youtube.com/watch?v=JGeI8FFVIAU</t>
  </si>
  <si>
    <t>https://www.youtube.com/watch?v=c_NhOdZ-2Lw</t>
  </si>
  <si>
    <t>https://www.youtube.com/watch?v=g-qnkOC9NUs</t>
  </si>
  <si>
    <t>https://www.youtube.com/watch?v=1FQx2uq6f3s</t>
  </si>
  <si>
    <t>https://www.youtube.com/watch?v=ECE51uJnYSM</t>
  </si>
  <si>
    <t>https://www.youtube.com/watch?v=dsr5yG0G6zA</t>
  </si>
  <si>
    <t>https://www.youtube.com/watch?v=LfpM2MMKhBE</t>
  </si>
  <si>
    <t>Sri Rudram pravachanam - Samavedham Shanmukha Sharma</t>
  </si>
  <si>
    <t>https://www.youtube.com/watch?v=7W1OF2EhUWQ</t>
  </si>
  <si>
    <t>https://www.youtube.com/watch?v=kiO_mqNEPa0</t>
  </si>
  <si>
    <t>Duration Analysis</t>
  </si>
  <si>
    <t>Daily Breakdown</t>
  </si>
  <si>
    <t/>
  </si>
  <si>
    <t>https://www.youtube.com/watch?v=VGxYDJ1EibM</t>
  </si>
  <si>
    <t>Total Duration</t>
  </si>
  <si>
    <t>https://www.youtube.com/watch?v=HUQOTj2Jy8o</t>
  </si>
  <si>
    <t>https://www.youtube.com/watch?v=DIhkOKsweec</t>
  </si>
  <si>
    <t>Date</t>
  </si>
  <si>
    <t>https://www.youtube.com/watch?v=4ygfOkaotBM</t>
  </si>
  <si>
    <t>https://www.youtube.com/watch?v=bgXkjA-HE48</t>
  </si>
  <si>
    <t>https://www.youtube.com/watch?v=7W0shLpZp2k</t>
  </si>
  <si>
    <t>https://www.youtube.com/watch?v=fHsOuVse56g</t>
  </si>
  <si>
    <t>https://www.youtube.com/watch?v=S0-DP55DKno</t>
  </si>
  <si>
    <t>Active Days</t>
  </si>
  <si>
    <t>https://www.youtube.com/watch?v=nwnWDhvWoQA</t>
  </si>
  <si>
    <t>https://www.youtube.com/watch?v=GcR1RBOlx0E</t>
  </si>
  <si>
    <t>https://www.youtube.com/watch?v=XKfs7Am4Y6s</t>
  </si>
  <si>
    <t>https://www.youtube.com/watch?v=oQfOW-nDwGw</t>
  </si>
  <si>
    <t>https://www.youtube.com/watch?v=ziaPHfFl-SU</t>
  </si>
  <si>
    <t>https://www.youtube.com/watch?v=_tjkkPaGoQQ</t>
  </si>
  <si>
    <t>https://www.youtube.com/watch?v=6WIPz8Ujqbo</t>
  </si>
  <si>
    <t>https://www.youtube.com/watch?v=0dXFHSLRCJQ</t>
  </si>
  <si>
    <t>https://www.youtube.com/watch?v=OkLdRJg2V1k</t>
  </si>
  <si>
    <t>https://www.youtube.com/watch?v=osX8BDu4kj0</t>
  </si>
  <si>
    <t>Avg Duration/Day</t>
  </si>
  <si>
    <t>https://www.youtube.com/watch?v=qslsC6FHqM4</t>
  </si>
  <si>
    <t>https://www.youtube.com/watch?v=bUdwtn5MJNM</t>
  </si>
  <si>
    <t>https://www.youtube.com/watch?v=jD0wXDfnPf4</t>
  </si>
  <si>
    <t>https://www.youtube.com/watch?v=eOleub_msJk</t>
  </si>
  <si>
    <t>https://www.youtube.com/watch?v=kntfmOCUgaY</t>
  </si>
  <si>
    <t>https://www.youtube.com/watch?v=Wp68_EHOZFY</t>
  </si>
  <si>
    <t>https://www.youtube.com/watch?v=6ookmYFfBe4</t>
  </si>
  <si>
    <t>https://www.youtube.com/watch?v=ePNb9Tbqjo4</t>
  </si>
  <si>
    <t>https://www.youtube.com/watch?v=C9wr58lNmbA</t>
  </si>
  <si>
    <t>Month</t>
  </si>
  <si>
    <t>https://www.youtube.com/watch?v=aAF3HMY0pIw</t>
  </si>
  <si>
    <t>https://www.youtube.com/watch?v=tm4k1VjMaTs</t>
  </si>
  <si>
    <t>https://www.youtube.com/watch?v=UrRfYqlwSlg</t>
  </si>
  <si>
    <t>https://www.youtube.com/watch?v=QPhLyb3cqGE</t>
  </si>
  <si>
    <t>https://www.youtube.com/watch?v=bEdyWDSo_lU</t>
  </si>
  <si>
    <t>https://www.youtube.com/watch?v=zw3r7vSk6pU</t>
  </si>
  <si>
    <t>https://www.youtube.com/watch?v=BeNaR8AG0jk</t>
  </si>
  <si>
    <t>https://www.youtube.com/watch?v=PV_oBf1u7Jg</t>
  </si>
  <si>
    <t>https://www.youtube.com/watch?v=sBnN1-VXQn8</t>
  </si>
  <si>
    <t>https://www.youtube.com/watch?v=f8pmDJPqsnw</t>
  </si>
  <si>
    <t>https://www.youtube.com/watch?v=wZCgCMHru0k</t>
  </si>
  <si>
    <t>https://www.youtube.com/watch?v=Kq9Wnt4-Ybc</t>
  </si>
  <si>
    <t>https://www.youtube.com/watch?v=lxXLb5lKe90</t>
  </si>
  <si>
    <t>https://www.youtube.com/watch?v=0FGWH60pFuM</t>
  </si>
  <si>
    <t>https://www.youtube.com/watch?v=_fUJ0iLQa4M</t>
  </si>
  <si>
    <t>https://www.youtube.com/watch?v=SOsNtuMysVs</t>
  </si>
  <si>
    <t>https://www.youtube.com/watch?v=TLEd0NRA7eo</t>
  </si>
  <si>
    <t>https://www.youtube.com/watch?v=hctYf2REf6k</t>
  </si>
  <si>
    <t>https://www.youtube.com/watch?v=fkabXNIQ9rQ</t>
  </si>
  <si>
    <t>https://www.youtube.com/watch?v=MH-0SeCbbjQ</t>
  </si>
  <si>
    <t>https://www.youtube.com/watch?v=3UGB7IovHW0</t>
  </si>
  <si>
    <t>https://www.youtube.com/watch?v=thRjZcTgViQ</t>
  </si>
  <si>
    <t>https://www.youtube.com/watch?v=sulbJGWj8HA</t>
  </si>
  <si>
    <t>https://www.youtube.com/watch?v=TkqXtUicrTs</t>
  </si>
  <si>
    <t>https://www.youtube.com/watch?v=RjZHLD3Y62Y</t>
  </si>
  <si>
    <t>https://www.youtube.com/watch?v=08pFTxqoRDE</t>
  </si>
  <si>
    <t>https://www.youtube.com/watch?v=d5g7l2IlLgg</t>
  </si>
  <si>
    <t>https://www.youtube.com/watch?v=j-zLN0kudzg</t>
  </si>
  <si>
    <t>https://www.youtube.com/watch?v=ZSbQSnwZ3nQ</t>
  </si>
  <si>
    <t>https://www.youtube.com/watch?v=650D8048um4</t>
  </si>
  <si>
    <t>https://www.youtube.com/watch?v=X9FrHnSmwyw</t>
  </si>
  <si>
    <t>https://www.youtube.com/watch?v=kbZjyKZq1j0</t>
  </si>
  <si>
    <t>https://www.youtube.com/watch?v=U4Kpht2gZAQ</t>
  </si>
  <si>
    <t>https://youtu.be/dVghuky3IU4?si=z5dB6tsh6cGL-uhW</t>
  </si>
  <si>
    <t>https://www.youtube.com/watch?v=oQtz4aFGy10</t>
  </si>
  <si>
    <t>https://www.youtube.com/watch?v=aVShF63zcUs</t>
  </si>
  <si>
    <t>https://www.youtube.com/watch?v=HQMcVSlDrvM</t>
  </si>
  <si>
    <t>https://www.youtube.com/watch?v=Z7DYBVRC1yE</t>
  </si>
  <si>
    <t>https://www.youtube.com/watch?v=2g2DGSpzInk</t>
  </si>
  <si>
    <t>https://www.youtube.com/watch?v=NoYOpyRR4bg</t>
  </si>
  <si>
    <t>https://www.youtube.com/watch?v=siiPvnQJ3X4</t>
  </si>
  <si>
    <t>https://www.youtube.com/watch?v=TX8PAa9Dtsk</t>
  </si>
  <si>
    <t>https://www.youtube.com/watch?v=2JN6BZEIC6k</t>
  </si>
  <si>
    <t>https://www.youtube.com/watch?v=E2YrfHerniM</t>
  </si>
  <si>
    <t>https://www.youtube.com/watch?v=yYr8G6ePHcM</t>
  </si>
  <si>
    <t>https://www.youtube.com/watch?v=r1rjwYOjczc</t>
  </si>
  <si>
    <t>https://www.youtube.com/watch?v=jjgSmE6UUWg</t>
  </si>
  <si>
    <t>https://www.youtube.com/watch?v=Y3ZJXxTnf4Q</t>
  </si>
  <si>
    <t>https://www.youtube.com/watch?v=T_RZcAdf95o</t>
  </si>
  <si>
    <t>https://www.youtube.com/watch?v=-1S6lYTKnOk</t>
  </si>
  <si>
    <t>https://www.youtube.com/watch?v=dWqaB04vFnI</t>
  </si>
  <si>
    <t>https://www.youtube.com/watch?v=JIwk9rVVuI8</t>
  </si>
  <si>
    <t>https://www.youtube.com/watch?v=mL_NFtjr9dE</t>
  </si>
  <si>
    <t>https://www.youtube.com/watch?v=ZHrJF1_aPjs</t>
  </si>
  <si>
    <t>https://www.youtube.com/watch?v=_dFqiac60j0</t>
  </si>
  <si>
    <t>https://www.youtube.com/watch?v=-B57at2MvSM</t>
  </si>
  <si>
    <t>https://www.youtube.com/watch?v=eS7Oprwq9gE</t>
  </si>
  <si>
    <t>https://www.youtube.com/watch?v=cdFTDcS7NwE</t>
  </si>
  <si>
    <t>https://www.youtube.com/watch?v=FRXQoViAoEs</t>
  </si>
  <si>
    <t>https://www.youtube.com/watch?v=eEd9AfPA4Xg</t>
  </si>
  <si>
    <t>https://www.youtube.com/watch?v=ZOpl-Lz-9LM</t>
  </si>
  <si>
    <t>https://www.youtube.com/watch?v=9hrp8mCiq-U</t>
  </si>
  <si>
    <t>https://www.youtube.com/watch?v=imrZeN-_TUE</t>
  </si>
  <si>
    <t>https://www.youtube.com/watch?v=2Z6PeAH0fjc</t>
  </si>
  <si>
    <t>https://www.youtube.com/watch?v=Av-tGWbcWiA</t>
  </si>
  <si>
    <t>https://www.youtube.com/watch?v=j8zai18f2qw</t>
  </si>
  <si>
    <t>https://www.youtube.com/watch?v=P20TUKF6iBs</t>
  </si>
  <si>
    <t>https://www.youtube.com/watch?v=DrD7kQf_5t4</t>
  </si>
  <si>
    <t>https://www.youtube.com/watch?v=LMu4Eie6n50</t>
  </si>
  <si>
    <t>https://www.youtube.com/watch?v=xoitixnGeqU</t>
  </si>
  <si>
    <t>https://www.youtube.com/watch?v=oM3_mV6B24w</t>
  </si>
  <si>
    <t>https://www.youtube.com/watch?v=1KJPZ3aL5oc</t>
  </si>
  <si>
    <t>https://www.youtube.com/watch?v=B0WxccWDXvo</t>
  </si>
  <si>
    <t>https://www.youtube.com/watch?v=7-pFw0d6ygY</t>
  </si>
  <si>
    <t>https://www.youtube.com/watch?v=Gg-Ldax0yWk</t>
  </si>
  <si>
    <t>https://www.youtube.com/watch?v=tFNwBC5G78o</t>
  </si>
  <si>
    <t>https://www.youtube.com/watch?v=ldboOBqeDKQ</t>
  </si>
  <si>
    <t>https://youtu.be/kW9Q25ZWCA4?si=UT43BswKvy_R208u</t>
  </si>
  <si>
    <t>https://www.youtube.com/watch?v=3jKmn7QDvCk</t>
  </si>
  <si>
    <t>https://youtu.be/S9ickSoVpOI?si=DiSBWRK8br2e4sOU</t>
  </si>
  <si>
    <t>https://www.youtube.com/watch?v=J6-ldGIwfCY</t>
  </si>
  <si>
    <t>https://youtu.be/ejw7IOYzYtM?si=YAXwYSVb4woAwQyE</t>
  </si>
  <si>
    <t>https://www.youtube.com/watch?v=u8f7tzrYcQI</t>
  </si>
  <si>
    <t>https://www.youtube.com/watch?v=KCqFYM6Ocg4</t>
  </si>
  <si>
    <t>https://www.youtube.com/watch?v=CzhEgiHyF24</t>
  </si>
  <si>
    <t>https://www.youtube.com/watch?v=Y5u48zzFJHo</t>
  </si>
  <si>
    <t>https://www.youtube.com/watch?v=LCVXbW4K-EQ</t>
  </si>
  <si>
    <t>https://www.youtube.com/watch?v=TiwMrkwpM-I</t>
  </si>
  <si>
    <t>https://www.youtube.com/watch?v=kiPagOm3w7k</t>
  </si>
  <si>
    <t>https://www.youtube.com/watch?v=PKye6VZe09A</t>
  </si>
  <si>
    <t>https://www.youtube.com/watch?v=kWUwQLxyl1E</t>
  </si>
  <si>
    <t>https://www.youtube.com/watch?v=9lde2X3emEM</t>
  </si>
  <si>
    <t>https://www.youtube.com/watch?v=MckzFb98bIk</t>
  </si>
  <si>
    <t>https://www.youtube.com/watch?v=57aGuNl-5ig</t>
  </si>
  <si>
    <t>https://www.youtube.com/watch?v=QQKC3lir7l8</t>
  </si>
  <si>
    <t>https://www.youtube.com/watch?v=PFpxm53WVFk</t>
  </si>
  <si>
    <t>https://www.youtube.com/watch?v=hbiYl3gkekk</t>
  </si>
  <si>
    <t>https://www.youtube.com/watch?v=B87pEL1wZ5Y</t>
  </si>
  <si>
    <t>https://www.youtube.com/watch?v=AXAN6r0WY4I</t>
  </si>
  <si>
    <t>https://www.youtube.com/watch?v=y6P56vJjPMo</t>
  </si>
  <si>
    <t>https://www.youtube.com/watch?v=dZphTCZE_2w</t>
  </si>
  <si>
    <t>https://www.youtube.com/watch?v=4UIw2TyPQlk</t>
  </si>
  <si>
    <t>https://www.youtube.com/watch?v=r04xLZmEkiQ</t>
  </si>
  <si>
    <t>https://www.youtube.com/watch?v=ZNhuXrWF6dE</t>
  </si>
  <si>
    <t>https://www.youtube.com/watch?v=IGfyM-jfenU</t>
  </si>
  <si>
    <t>Total Completed</t>
  </si>
  <si>
    <t>https://www.youtube.com/watch?v=1HBOg8SFO5g</t>
  </si>
  <si>
    <t>https://www.youtube.com/watch?v=L7jzzz2d9NQ</t>
  </si>
  <si>
    <t>https://www.youtube.com/watch?v=wruoIiI0mLw</t>
  </si>
  <si>
    <t>Total Pending</t>
  </si>
  <si>
    <t>https://www.youtube.com/watch?v=e0HL_pWJSZI</t>
  </si>
  <si>
    <t>Overall Completion Rate</t>
  </si>
  <si>
    <t>https://www.youtube.com/watch?v=IgdyhxQkI9o</t>
  </si>
  <si>
    <t>https://www.youtube.com/watch?v=0aJ3Hdi54YQ</t>
  </si>
  <si>
    <t>Katha Upanishad - Swami Sarvapriyananda</t>
  </si>
  <si>
    <t>https://www.youtube.com/watch?v=hFjBhVana8E</t>
  </si>
  <si>
    <t>https://www.youtube.com/watch?v=tobtOiFXk1c</t>
  </si>
  <si>
    <t>https://www.youtube.com/watch?v=QJyYF3AQPnA</t>
  </si>
  <si>
    <t>https://www.youtube.com/watch?v=T9LqW5m0K4U</t>
  </si>
  <si>
    <t>https://www.youtube.com/watch?v=B4amCCPvCa0</t>
  </si>
  <si>
    <t>https://www.youtube.com/watch?v=JRnHtYwTkuI</t>
  </si>
  <si>
    <t>https://www.youtube.com/watch?v=FKdZ5yGO_Dg</t>
  </si>
  <si>
    <t>https://www.youtube.com/watch?v=MmoxzLIzAas</t>
  </si>
  <si>
    <t>https://www.youtube.com/watch?v=O7rS6oRZDNE</t>
  </si>
  <si>
    <t>Week Start</t>
  </si>
  <si>
    <t>https://www.youtube.com/watch?v=dhrJAEGQIqs</t>
  </si>
  <si>
    <t>https://www.youtube.com/watch?v=JFqfXk67D_0</t>
  </si>
  <si>
    <t>https://www.youtube.com/watch?v=zYWzaSKUohw</t>
  </si>
  <si>
    <t>2025-09-01</t>
  </si>
  <si>
    <t>https://www.youtube.com/watch?v=8HadaypJ3Fo</t>
  </si>
  <si>
    <t>https://www.youtube.com/watch?v=4IO1SO43nfg</t>
  </si>
  <si>
    <t>2025-09-08</t>
  </si>
  <si>
    <t>https://www.youtube.com/watch?v=1Of2oh_V1uc</t>
  </si>
  <si>
    <t>2025-09-15</t>
  </si>
  <si>
    <t>https://www.youtube.com/watch?v=7rOdP6Y_WXo</t>
  </si>
  <si>
    <t>2025-09-22</t>
  </si>
  <si>
    <t>https://www.youtube.com/watch?v=Ns7h-YLQ3wk</t>
  </si>
  <si>
    <t>Master Scriptures Dashboard</t>
  </si>
  <si>
    <t>2025-09-29</t>
  </si>
  <si>
    <t>https://www.youtube.com/watch?v=rz-b9rjSgV0</t>
  </si>
  <si>
    <t>Total</t>
  </si>
  <si>
    <t>2025-10-06</t>
  </si>
  <si>
    <t>https://www.youtube.com/watch?v=VJ2g3HSYK6E</t>
  </si>
  <si>
    <t>2025-10-13</t>
  </si>
  <si>
    <t>https://www.youtube.com/watch?v=a6AF3i3mUUY</t>
  </si>
  <si>
    <t>2025-10-20</t>
  </si>
  <si>
    <t>https://www.youtube.com/watch?v=b_GLlrRi4y4</t>
  </si>
  <si>
    <t>2025-10-27</t>
  </si>
  <si>
    <t>https://www.youtube.com/watch?v=lxP7Sdxkm8M</t>
  </si>
  <si>
    <t>Devi Bhaagavatham - Samavedham Shanmukha Sharma</t>
  </si>
  <si>
    <t>https://www.youtube.com/watch?v=EmHNM-kdtSE</t>
  </si>
  <si>
    <t>https://www.youtube.com/watch?v=ZoNSg5-EZ0o</t>
  </si>
  <si>
    <t>https://www.youtube.com/watch?v=OKeFEGeZvFU</t>
  </si>
  <si>
    <t>https://www.youtube.com/watch?v=ScQlJIAJnFQ</t>
  </si>
  <si>
    <t>https://www.youtube.com/watch?v=DHH8K5kzmLM</t>
  </si>
  <si>
    <t>https://www.youtube.com/watch?v=UamLcnY7Vkg</t>
  </si>
  <si>
    <t>https://www.youtube.com/watch?v=oBjQqBDzyd0</t>
  </si>
  <si>
    <t>https://www.youtube.com/watch?v=Nzp1OSonylQ</t>
  </si>
  <si>
    <t>https://www.youtube.com/watch?v=FaxMHzGoYBA</t>
  </si>
  <si>
    <t>https://www.youtube.com/watch?v=MaIjltvzKZA</t>
  </si>
  <si>
    <t>https://www.youtube.com/watch?v=et3rpgF7RRY</t>
  </si>
  <si>
    <t>https://www.youtube.com/watch?v=5iV2kikzo8Q</t>
  </si>
  <si>
    <t>https://www.youtube.com/watch?v=uF9eREYVf2k</t>
  </si>
  <si>
    <t>https://www.youtube.com/watch?v=N_CYTuxNjgU</t>
  </si>
  <si>
    <t>https://www.youtube.com/watch?v=aJZn4GNEw8g</t>
  </si>
  <si>
    <t>https://www.youtube.com/watch?v=ofBUalNIjCc</t>
  </si>
  <si>
    <t>https://www.youtube.com/watch?v=VqILIoLOoNE</t>
  </si>
  <si>
    <t>https://www.youtube.com/watch?v=uVgATUq4eNQ</t>
  </si>
  <si>
    <t>https://www.youtube.com/watch?v=38TCl9Beyew</t>
  </si>
  <si>
    <t>https://www.youtube.com/watch?v=Gm8OrDVy3D4</t>
  </si>
  <si>
    <t>https://www.youtube.com/watch?v=hUu70jpYvxk</t>
  </si>
  <si>
    <t>https://www.youtube.com/watch?v=BE2_W30DnXA</t>
  </si>
  <si>
    <t>https://www.youtube.com/watch?v=k8KXpXGj9eM</t>
  </si>
  <si>
    <t>https://www.youtube.com/watch?v=IvNQ3-8VMUA</t>
  </si>
  <si>
    <t>https://www.youtube.com/watch?v=CgK2ETuzGRM</t>
  </si>
  <si>
    <t>https://www.youtube.com/watch?v=lAtBgu5s6Lw</t>
  </si>
  <si>
    <t>https://www.youtube.com/watch?v=pb8M9OdZvCE</t>
  </si>
  <si>
    <t>https://www.youtube.com/watch?v=EZDIO6mF6Co</t>
  </si>
  <si>
    <t>https://www.youtube.com/watch?v=oZYeD4JWPyQ</t>
  </si>
  <si>
    <t>https://www.youtube.com/watch?v=41Qd77ibOiY</t>
  </si>
  <si>
    <t>https://www.youtube.com/watch?v=c3Y5isrhSVo</t>
  </si>
  <si>
    <t>https://www.youtube.com/watch?v=s9AvRUeksQE</t>
  </si>
  <si>
    <t>https://www.youtube.com/watch?v=xalSLPS5xmA</t>
  </si>
  <si>
    <t>https://www.youtube.com/watch?v=assqrLbOFLg</t>
  </si>
  <si>
    <t>https://www.youtube.com/watch?v=aTqhC0vUBSI</t>
  </si>
  <si>
    <t>https://www.youtube.com/watch?v=fpkbjMXPlgY</t>
  </si>
  <si>
    <t>https://www.youtube.com/watch?v=RGm8vi38dvI</t>
  </si>
  <si>
    <t>https://www.youtube.com/watch?v=j9W-9nKBrU0</t>
  </si>
  <si>
    <t>https://www.youtube.com/watch?v=7SdKpOq9cTE</t>
  </si>
  <si>
    <t>https://www.youtube.com/watch?v=zPFurtWQAoQ</t>
  </si>
  <si>
    <t>https://www.youtube.com/watch?v=l-QdRhGg9js</t>
  </si>
  <si>
    <t>https://www.youtube.com/watch?v=DQTY1f1nlos</t>
  </si>
  <si>
    <t>https://www.youtube.com/watch?v=-nVuiTjIzqs</t>
  </si>
  <si>
    <t>https://www.youtube.com/watch?v=aJ5dJFVncP4</t>
  </si>
  <si>
    <t>https://www.youtube.com/watch?v=qGh1FP3D7T0</t>
  </si>
  <si>
    <t>https://www.youtube.com/watch?v=Fs0rTpS-R6k</t>
  </si>
  <si>
    <t>https://www.youtube.com/watch?v=AXyst4aEFZg</t>
  </si>
  <si>
    <t>https://www.youtube.com/watch?v=8JoAk2ji29w</t>
  </si>
  <si>
    <t>https://www.youtube.com/watch?v=Vgc11jluxbQ</t>
  </si>
  <si>
    <t>https://www.youtube.com/watch?v=90mF7gUm0Vc</t>
  </si>
  <si>
    <t>https://www.youtube.com/watch?v=uGSAh-xDXy8</t>
  </si>
  <si>
    <t>https://www.youtube.com/watch?v=mfCK9OWq474</t>
  </si>
  <si>
    <t>https://www.youtube.com/watch?v=JNVHliZYDIY</t>
  </si>
  <si>
    <t>https://www.youtube.com/watch?v=QQD4auRVxyQ</t>
  </si>
  <si>
    <t>https://www.youtube.com/watch?v=GU6SXbph82Y</t>
  </si>
  <si>
    <t>https://www.youtube.com/watch?v=0KWry7MT0Lo</t>
  </si>
  <si>
    <t>https://www.youtube.com/watch?v=JiEi6zd2xl8</t>
  </si>
  <si>
    <t>https://www.youtube.com/watch?v=-IUBcyHWEK4</t>
  </si>
  <si>
    <t>https://www.youtube.com/watch?v=UyqcoOCKCGU</t>
  </si>
  <si>
    <t>https://www.youtube.com/watch?v=FNGzwpUXe1E</t>
  </si>
  <si>
    <t>https://www.youtube.com/watch?v=BjWeOaHar1I</t>
  </si>
  <si>
    <t>https://www.youtube.com/watch?v=f78P_l3VIT0</t>
  </si>
  <si>
    <t>https://www.youtube.com/watch?v=4dabjAqyAWU</t>
  </si>
  <si>
    <t>https://www.youtube.com/watch?v=GvuhiiXmVRI</t>
  </si>
  <si>
    <t>https://www.youtube.com/watch?v=mCpqq71l4Ds</t>
  </si>
  <si>
    <t>https://www.youtube.com/watch?v=uxdd97o5Frc</t>
  </si>
  <si>
    <t>https://www.youtube.com/watch?v=DkbVF1QaaDA</t>
  </si>
  <si>
    <t>https://www.youtube.com/watch?v=5ZLDLDve9NA</t>
  </si>
  <si>
    <t>https://www.youtube.com/watch?v=oQtULD1yxBc</t>
  </si>
  <si>
    <t>https://www.youtube.com/watch?v=ktIpUA7wTSY</t>
  </si>
  <si>
    <t>https://www.youtube.com/watch?v=Gc1E5grjt6c</t>
  </si>
  <si>
    <t>https://www.youtube.com/watch?v=HyB4dp_KkQI</t>
  </si>
  <si>
    <t>https://www.youtube.com/watch?v=xbRzIhF14LY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</si>
</sst>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dd-mmm-yyyy"/>
    <numFmt numFmtId="165" formatCode="yyyy-mm-dd"/>
    <numFmt numFmtId="166" formatCode="0.0%"/>
    <numFmt numFmtId="167" formatCode="M/d/yyyy"/>
    <numFmt numFmtId="168" formatCode="mmm-yyyy"/>
    <numFmt numFmtId="169" formatCode="mmm yyyy"/>
  </numFmts>
  <fonts count="42">
    <font>
      <sz val="10.0"/>
      <color rgb="FF000000"/>
      <name val="Arial"/>
      <scheme val="minor"/>
    </font>
    <font>
      <color theme="1"/>
      <name val="Arial"/>
      <scheme val="minor"/>
    </font>
    <font>
      <b/>
      <sz val="24.0"/>
      <color theme="1"/>
      <name val="Arial"/>
      <scheme val="minor"/>
    </font>
    <font>
      <b/>
      <color rgb="FFFFFFFF"/>
      <name val="Montserrat"/>
    </font>
    <font>
      <u/>
      <color rgb="FF0000FF"/>
    </font>
    <font>
      <u/>
      <color rgb="FF0000FF"/>
    </font>
    <font>
      <u/>
      <color rgb="FF0000FF"/>
    </font>
    <font>
      <u/>
      <color rgb="FF0000FF"/>
    </font>
    <font>
      <color rgb="FF211A14"/>
      <name val="Roboto"/>
    </font>
    <font>
      <b/>
      <sz val="16.0"/>
      <color rgb="FF895021"/>
      <name val="Montserrat"/>
    </font>
    <font>
      <b/>
      <color rgb="FFFFFFFF"/>
      <name val="Arial"/>
      <scheme val="minor"/>
    </font>
    <font>
      <u/>
      <color rgb="FF0000FF"/>
    </font>
    <font>
      <u/>
      <color rgb="FF0000FF"/>
    </font>
    <font>
      <b/>
      <sz val="10.0"/>
      <color rgb="FFFFFFFF"/>
      <name val="Arial"/>
    </font>
    <font>
      <u/>
      <color rgb="FF0000FF"/>
    </font>
    <font>
      <u/>
      <color rgb="FF211A14"/>
      <name val="Roboto"/>
    </font>
    <font>
      <sz val="10.0"/>
      <color theme="1"/>
      <name val="Roboto"/>
    </font>
    <font>
      <sz val="10.0"/>
      <color rgb="FFFFFFFF"/>
      <name val="Merriweather"/>
    </font>
    <font>
      <sz val="10.0"/>
      <color rgb="FF211A14"/>
      <name val="Roboto"/>
    </font>
    <font>
      <u/>
      <color rgb="FF0000FF"/>
    </font>
    <font>
      <u/>
      <color rgb="FF0000FF"/>
    </font>
    <font>
      <u/>
      <color rgb="FF0000FF"/>
    </font>
    <font>
      <b/>
      <sz val="18.0"/>
      <color rgb="FF904A3C"/>
      <name val="Arial"/>
      <scheme val="minor"/>
    </font>
    <font/>
    <font>
      <u/>
      <color rgb="FF0000FF"/>
    </font>
    <font>
      <u/>
      <color rgb="FF0000FF"/>
    </font>
    <font>
      <b/>
      <sz val="14.0"/>
      <color rgb="FF8F4A40"/>
      <name val="Merriweather"/>
    </font>
    <font>
      <sz val="10.0"/>
      <color theme="1"/>
      <name val="Merriweather"/>
    </font>
    <font>
      <sz val="10.0"/>
      <color rgb="FF221817"/>
      <name val="Roboto"/>
    </font>
    <font>
      <u/>
      <sz val="10.0"/>
      <color rgb="FF221817"/>
      <name val="Roboto"/>
    </font>
    <font>
      <color theme="1"/>
      <name val="Roboto"/>
    </font>
    <font>
      <b/>
      <color theme="1"/>
      <name val="Arial"/>
      <scheme val="minor"/>
    </font>
    <font>
      <u/>
      <color rgb="FF0000FF"/>
    </font>
    <font>
      <sz val="12.0"/>
      <color rgb="FF000000"/>
      <name val="Calibri"/>
    </font>
    <font>
      <u/>
      <color rgb="FF0000FF"/>
    </font>
    <font>
      <u/>
      <sz val="10.0"/>
      <color rgb="FF221817"/>
      <name val="Roboto"/>
    </font>
    <font>
      <u/>
      <sz val="10.0"/>
      <color rgb="FF221817"/>
      <name val="Roboto"/>
    </font>
    <font>
      <b/>
      <sz val="16.0"/>
      <color rgb="FF884F20"/>
      <name val="Montserrat"/>
    </font>
    <font>
      <u/>
      <color rgb="FF0000FF"/>
    </font>
    <font>
      <b/>
      <sz val="24.0"/>
      <color theme="1"/>
      <name val="Arial"/>
    </font>
    <font>
      <b/>
      <color rgb="FFFFFFFF"/>
      <name val="Arial"/>
    </font>
    <font>
      <color rgb="FF221816"/>
      <name val="Arial"/>
    </font>
  </fonts>
  <fills count="13">
    <fill>
      <patternFill patternType="none"/>
    </fill>
    <fill>
      <patternFill patternType="lightGray"/>
    </fill>
    <fill>
      <patternFill patternType="solid">
        <fgColor rgb="FF8F4A3F"/>
        <bgColor rgb="FF8F4A3F"/>
      </patternFill>
    </fill>
    <fill>
      <patternFill patternType="solid">
        <fgColor rgb="FF904945"/>
        <bgColor rgb="FF904945"/>
      </patternFill>
    </fill>
    <fill>
      <patternFill patternType="solid">
        <fgColor rgb="FF93C47D"/>
        <bgColor rgb="FF93C47D"/>
      </patternFill>
    </fill>
    <fill>
      <patternFill patternType="solid">
        <fgColor rgb="FFFFF8F5"/>
        <bgColor rgb="FFFFF8F5"/>
      </patternFill>
    </fill>
    <fill>
      <patternFill patternType="solid">
        <fgColor rgb="FF904A3C"/>
        <bgColor rgb="FF904A3C"/>
      </patternFill>
    </fill>
    <fill>
      <patternFill patternType="solid">
        <fgColor rgb="FFFFF8F6"/>
        <bgColor rgb="FFFFF8F6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FF9900"/>
        <bgColor rgb="FFFF9900"/>
      </patternFill>
    </fill>
    <fill>
      <patternFill patternType="solid">
        <fgColor rgb="FFFFF7F5"/>
        <bgColor rgb="FFFFF7F5"/>
      </patternFill>
    </fill>
    <fill>
      <patternFill patternType="solid">
        <fgColor rgb="FF895020"/>
        <bgColor rgb="FF895020"/>
      </patternFill>
    </fill>
  </fills>
  <borders count="1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85736F"/>
      </right>
      <top style="thin">
        <color rgb="FF85736F"/>
      </top>
      <bottom style="thin">
        <color rgb="FF85736F"/>
      </bottom>
    </border>
    <border>
      <left style="thin">
        <color rgb="FF85736F"/>
      </left>
      <right style="thin">
        <color rgb="FF85736F"/>
      </right>
      <top style="thin">
        <color rgb="FF85736F"/>
      </top>
      <bottom style="thin">
        <color rgb="FF85736F"/>
      </bottom>
    </border>
    <border>
      <left style="thin">
        <color rgb="FF85736F"/>
      </left>
      <right style="thin">
        <color rgb="FF85736F"/>
      </right>
      <top style="thin">
        <color rgb="FF85736F"/>
      </top>
    </border>
    <border>
      <left style="thin">
        <color rgb="FF85736F"/>
      </left>
      <top style="thin">
        <color rgb="FF85736F"/>
      </top>
      <bottom style="thin">
        <color rgb="FF85736F"/>
      </bottom>
    </border>
    <border>
      <right style="thin">
        <color rgb="FF85736F"/>
      </right>
      <top style="thin">
        <color rgb="FF85736F"/>
      </top>
    </border>
    <border>
      <left style="thin">
        <color rgb="FF85736F"/>
      </left>
      <top style="thin">
        <color rgb="FF85736F"/>
      </top>
    </border>
    <border>
      <left style="double">
        <color rgb="FF980000"/>
      </left>
      <right style="double">
        <color rgb="FF980000"/>
      </right>
      <top style="double">
        <color rgb="FF980000"/>
      </top>
      <bottom style="double">
        <color rgb="FF980000"/>
      </bottom>
    </border>
    <border>
      <left style="thin">
        <color rgb="FF85736E"/>
      </left>
      <right style="thin">
        <color rgb="FF85736E"/>
      </right>
      <top style="thin">
        <color rgb="FF85736E"/>
      </top>
      <bottom style="thin">
        <color rgb="FF85736E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85736E"/>
      </left>
      <right style="thin">
        <color rgb="FF85736E"/>
      </right>
      <top style="thin">
        <color rgb="FF85736E"/>
      </top>
    </border>
    <border>
      <left style="thin">
        <color rgb="FF85736E"/>
      </left>
      <top style="thin">
        <color rgb="FF85736E"/>
      </top>
      <bottom style="thin">
        <color rgb="FF85736E"/>
      </bottom>
    </border>
    <border>
      <left style="thin">
        <color rgb="FF84746A"/>
      </left>
      <right style="thin">
        <color rgb="FF84746A"/>
      </right>
      <top style="thin">
        <color rgb="FF84746A"/>
      </top>
      <bottom style="thin">
        <color rgb="FF84746A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borderId="0" fillId="0" fontId="0" numFmtId="0" applyAlignment="1" applyFont="1"/>
  </cellStyleXfs>
  <cellXfs count="17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center" vertical="center"/>
    </xf>
    <xf borderId="1" fillId="2" fontId="3" numFmtId="0" xfId="0" applyAlignment="1" applyBorder="1" applyFill="1" applyFont="1">
      <alignment horizontal="center" readingOrder="0" vertical="center"/>
    </xf>
    <xf borderId="2" fillId="2" fontId="3" numFmtId="0" xfId="0" applyAlignment="1" applyBorder="1" applyFill="1" applyFont="1">
      <alignment horizontal="center" readingOrder="0" vertical="center"/>
    </xf>
    <xf borderId="3" fillId="2" fontId="3" numFmtId="0" xfId="0" applyAlignment="1" applyBorder="1" applyFill="1" applyFont="1">
      <alignment horizontal="center" readingOrder="0" vertical="center"/>
    </xf>
    <xf borderId="4" fillId="2" fontId="3" numFmtId="0" xfId="0" applyAlignment="1" applyBorder="1" applyFill="1" applyFont="1">
      <alignment horizontal="center" readingOrder="0" shrinkToFit="0" vertical="center" wrapText="1"/>
    </xf>
    <xf borderId="1" fillId="0" fontId="1" numFmtId="0" xfId="0" applyAlignment="1" applyBorder="1" applyFont="1">
      <alignment horizontal="center" readingOrder="0" vertical="center"/>
    </xf>
    <xf borderId="2" fillId="0" fontId="1" numFmtId="0" xfId="0" applyAlignment="1" applyBorder="1" applyFont="1">
      <alignment horizontal="center" readingOrder="0" vertical="center"/>
    </xf>
    <xf borderId="3" fillId="0" fontId="1" numFmtId="0" xfId="0" applyAlignment="1" applyBorder="1" applyFont="1">
      <alignment horizontal="center" vertical="center"/>
    </xf>
    <xf borderId="3" fillId="0" fontId="1" numFmtId="164" xfId="0" applyAlignment="1" applyBorder="1" applyFont="1" applyNumberFormat="1">
      <alignment horizontal="center" vertical="center"/>
    </xf>
    <xf borderId="5" fillId="0" fontId="4" numFmtId="165" xfId="0" applyAlignment="1" applyBorder="1" applyFont="1" applyNumberFormat="1">
      <alignment horizontal="center" vertical="center"/>
    </xf>
    <xf borderId="1" fillId="0" fontId="5" numFmtId="0" xfId="0" applyAlignment="1" applyBorder="1" applyFont="1">
      <alignment horizontal="center" readingOrder="0" shrinkToFit="0" vertical="center" wrapText="1"/>
    </xf>
    <xf borderId="1" fillId="0" fontId="1" numFmtId="0" xfId="0" applyAlignment="1" applyBorder="1" applyFont="1">
      <alignment horizontal="center" readingOrder="0" shrinkToFit="0" vertical="center" wrapText="1"/>
    </xf>
    <xf borderId="1" fillId="0" fontId="1" numFmtId="9" xfId="0" applyAlignment="1" applyBorder="1" applyFont="1" applyNumberFormat="1">
      <alignment horizontal="center" readingOrder="0" shrinkToFit="0" vertical="center" wrapText="1"/>
    </xf>
    <xf borderId="0" fillId="0" fontId="1" numFmtId="0" xfId="0" applyAlignment="1" applyFont="1">
      <alignment vertical="center"/>
    </xf>
    <xf borderId="1" fillId="0" fontId="1" numFmtId="0" xfId="0" applyAlignment="1" applyBorder="1" applyFont="1">
      <alignment horizontal="center" readingOrder="0" vertical="center"/>
    </xf>
    <xf borderId="6" fillId="0" fontId="1" numFmtId="0" xfId="0" applyAlignment="1" applyBorder="1" applyFont="1">
      <alignment horizontal="center" readingOrder="0" vertical="center"/>
    </xf>
    <xf borderId="4" fillId="0" fontId="1" numFmtId="0" xfId="0" applyAlignment="1" applyBorder="1" applyFont="1">
      <alignment horizontal="center" vertical="center"/>
    </xf>
    <xf borderId="4" fillId="0" fontId="1" numFmtId="164" xfId="0" applyAlignment="1" applyBorder="1" applyFont="1" applyNumberFormat="1">
      <alignment horizontal="center" vertical="center"/>
    </xf>
    <xf borderId="7" fillId="0" fontId="6" numFmtId="0" xfId="0" applyAlignment="1" applyBorder="1" applyFont="1">
      <alignment horizontal="center" vertical="center"/>
    </xf>
    <xf borderId="1" fillId="0" fontId="7" numFmtId="0" xfId="0" applyAlignment="1" applyBorder="1" applyFont="1">
      <alignment horizontal="center" readingOrder="0" shrinkToFit="0" vertical="center" wrapText="1"/>
    </xf>
    <xf borderId="1" fillId="0" fontId="1" numFmtId="0" xfId="0" applyAlignment="1" applyBorder="1" applyFont="1">
      <alignment horizontal="center" readingOrder="0" shrinkToFit="0" vertical="center" wrapText="1"/>
    </xf>
    <xf borderId="1" fillId="0" fontId="1" numFmtId="9" xfId="0" applyAlignment="1" applyBorder="1" applyFont="1" applyNumberFormat="1">
      <alignment horizontal="center" readingOrder="0" shrinkToFit="0" vertical="center" wrapText="1"/>
    </xf>
    <xf borderId="0" fillId="0" fontId="8" numFmtId="0" xfId="0" applyFont="1"/>
    <xf borderId="1" fillId="0" fontId="1" numFmtId="0" xfId="0" applyAlignment="1" applyBorder="1" applyFont="1">
      <alignment horizontal="center" vertical="center"/>
    </xf>
    <xf borderId="0" fillId="0" fontId="9" numFmtId="0" xfId="0" applyAlignment="1" applyFont="1">
      <alignment readingOrder="0"/>
    </xf>
    <xf borderId="0" fillId="0" fontId="9" numFmtId="0" xfId="0" applyAlignment="1" applyFont="1">
      <alignment readingOrder="0"/>
    </xf>
    <xf borderId="0" fillId="0" fontId="8" numFmtId="0" xfId="0" applyAlignment="1" applyFont="1">
      <alignment readingOrder="0"/>
    </xf>
    <xf borderId="1" fillId="0" fontId="1" numFmtId="164" xfId="0" applyAlignment="1" applyBorder="1" applyFont="1" applyNumberFormat="1">
      <alignment horizontal="center" vertical="center"/>
    </xf>
    <xf borderId="1" fillId="3" fontId="10" numFmtId="0" xfId="0" applyAlignment="1" applyBorder="1" applyFill="1" applyFont="1">
      <alignment horizontal="center" readingOrder="0"/>
    </xf>
    <xf borderId="1" fillId="0" fontId="11" numFmtId="0" xfId="0" applyAlignment="1" applyBorder="1" applyFont="1">
      <alignment horizontal="center" vertical="center"/>
    </xf>
    <xf borderId="1" fillId="3" fontId="10" numFmtId="0" xfId="0" applyAlignment="1" applyBorder="1" applyFill="1" applyFont="1">
      <alignment horizontal="center" readingOrder="0"/>
    </xf>
    <xf borderId="1" fillId="3" fontId="10" numFmtId="0" xfId="0" applyAlignment="1" applyBorder="1" applyFill="1" applyFont="1">
      <alignment horizontal="center" vertical="center"/>
    </xf>
    <xf borderId="1" fillId="3" fontId="10" numFmtId="0" xfId="0" applyAlignment="1" applyBorder="1" applyFill="1" applyFont="1">
      <alignment readingOrder="0" vertical="center"/>
    </xf>
    <xf borderId="1" fillId="0" fontId="12" numFmtId="0" xfId="0" applyAlignment="1" applyBorder="1" applyFont="1">
      <alignment horizontal="center" readingOrder="0" shrinkToFit="0" vertical="center" wrapText="1"/>
    </xf>
    <xf borderId="1" fillId="0" fontId="1" numFmtId="0" xfId="0" applyBorder="1" applyFont="1"/>
    <xf borderId="1" fillId="0" fontId="1" numFmtId="9" xfId="0" applyAlignment="1" applyBorder="1" applyFont="1" applyNumberFormat="1">
      <alignment horizontal="center"/>
    </xf>
    <xf borderId="1" fillId="3" fontId="10" numFmtId="0" xfId="0" applyAlignment="1" applyBorder="1" applyFill="1" applyFont="1">
      <alignment vertical="center"/>
    </xf>
    <xf borderId="1" fillId="3" fontId="13" numFmtId="0" xfId="0" applyAlignment="1" applyBorder="1" applyFill="1" applyFont="1">
      <alignment horizontal="center" vertical="bottom"/>
    </xf>
    <xf borderId="1" fillId="0" fontId="1" numFmtId="0" xfId="0" applyAlignment="1" applyBorder="1" applyFont="1">
      <alignment horizontal="center" vertical="center"/>
    </xf>
    <xf borderId="1" fillId="3" fontId="13" numFmtId="0" xfId="0" applyAlignment="1" applyBorder="1" applyFill="1" applyFont="1">
      <alignment horizontal="center" readingOrder="0" vertical="bottom"/>
    </xf>
    <xf borderId="1" fillId="0" fontId="8" numFmtId="0" xfId="0" applyAlignment="1" applyBorder="1" applyFont="1">
      <alignment horizontal="center" readingOrder="0"/>
    </xf>
    <xf borderId="1" fillId="0" fontId="8" numFmtId="164" xfId="0" applyAlignment="1" applyBorder="1" applyFont="1" applyNumberFormat="1">
      <alignment horizontal="right" readingOrder="0"/>
    </xf>
    <xf borderId="1" fillId="0" fontId="1" numFmtId="164" xfId="0" applyAlignment="1" applyBorder="1" applyFont="1" applyNumberFormat="1">
      <alignment horizontal="center" vertical="center"/>
    </xf>
    <xf borderId="1" fillId="0" fontId="8" numFmtId="0" xfId="0" applyBorder="1" applyFont="1"/>
    <xf borderId="1" fillId="0" fontId="14" numFmtId="165" xfId="0" applyAlignment="1" applyBorder="1" applyFont="1" applyNumberFormat="1">
      <alignment horizontal="center" vertical="center"/>
    </xf>
    <xf borderId="1" fillId="0" fontId="15" numFmtId="0" xfId="0" applyAlignment="1" applyBorder="1" applyFont="1">
      <alignment readingOrder="0"/>
    </xf>
    <xf borderId="1" fillId="0" fontId="16" numFmtId="166" xfId="0" applyAlignment="1" applyBorder="1" applyFont="1" applyNumberFormat="1">
      <alignment vertical="center"/>
    </xf>
    <xf borderId="1" fillId="4" fontId="17" numFmtId="0" xfId="0" applyAlignment="1" applyBorder="1" applyFill="1" applyFont="1">
      <alignment readingOrder="0" vertical="center"/>
    </xf>
    <xf borderId="1" fillId="0" fontId="16" numFmtId="0" xfId="0" applyAlignment="1" applyBorder="1" applyFont="1">
      <alignment vertical="center"/>
    </xf>
    <xf borderId="1" fillId="5" fontId="18" numFmtId="164" xfId="0" applyAlignment="1" applyBorder="1" applyFill="1" applyFont="1" applyNumberFormat="1">
      <alignment horizontal="center" vertical="bottom"/>
    </xf>
    <xf borderId="1" fillId="5" fontId="18" numFmtId="0" xfId="0" applyAlignment="1" applyBorder="1" applyFill="1" applyFont="1">
      <alignment horizontal="center" vertical="bottom"/>
    </xf>
    <xf borderId="1" fillId="0" fontId="19" numFmtId="0" xfId="0" applyAlignment="1" applyBorder="1" applyFont="1">
      <alignment horizontal="center" readingOrder="0" vertical="center"/>
    </xf>
    <xf borderId="0" fillId="0" fontId="16" numFmtId="0" xfId="0" applyFont="1"/>
    <xf borderId="1" fillId="0" fontId="1" numFmtId="9" xfId="0" applyAlignment="1" applyBorder="1" applyFont="1" applyNumberFormat="1">
      <alignment horizontal="center" readingOrder="0" vertical="center"/>
    </xf>
    <xf borderId="1" fillId="0" fontId="16" numFmtId="46" xfId="0" applyAlignment="1" applyBorder="1" applyFont="1" applyNumberFormat="1">
      <alignment vertical="center"/>
    </xf>
    <xf borderId="0" fillId="0" fontId="1" numFmtId="0" xfId="0" applyAlignment="1" applyFont="1">
      <alignment horizontal="center" readingOrder="0" vertical="center"/>
    </xf>
    <xf borderId="0" fillId="0" fontId="1" numFmtId="164" xfId="0" applyAlignment="1" applyFont="1" applyNumberFormat="1">
      <alignment horizontal="center" vertical="center"/>
    </xf>
    <xf borderId="1" fillId="0" fontId="16" numFmtId="164" xfId="0" applyAlignment="1" applyBorder="1" applyFont="1" applyNumberFormat="1">
      <alignment vertical="center"/>
    </xf>
    <xf borderId="0" fillId="0" fontId="20" numFmtId="0" xfId="0" applyAlignment="1" applyFont="1">
      <alignment horizontal="center" vertical="center"/>
    </xf>
    <xf borderId="0" fillId="0" fontId="21" numFmtId="0" xfId="0" applyAlignment="1" applyFont="1">
      <alignment horizontal="center" readingOrder="0" shrinkToFit="0" vertical="center" wrapText="1"/>
    </xf>
    <xf borderId="0" fillId="0" fontId="1" numFmtId="0" xfId="0" applyFont="1"/>
    <xf borderId="0" fillId="0" fontId="1" numFmtId="9" xfId="0" applyAlignment="1" applyFont="1" applyNumberFormat="1">
      <alignment horizontal="center"/>
    </xf>
    <xf borderId="0" fillId="0" fontId="16" numFmtId="164" xfId="0" applyFont="1" applyNumberFormat="1"/>
    <xf borderId="8" fillId="0" fontId="16" numFmtId="0" xfId="0" applyAlignment="1" applyBorder="1" applyFont="1">
      <alignment readingOrder="0"/>
    </xf>
    <xf borderId="1" fillId="0" fontId="8" numFmtId="0" xfId="0" applyAlignment="1" applyBorder="1" applyFont="1">
      <alignment readingOrder="0"/>
    </xf>
    <xf borderId="8" fillId="0" fontId="16" numFmtId="0" xfId="0" applyBorder="1" applyFont="1"/>
    <xf borderId="0" fillId="0" fontId="8" numFmtId="164" xfId="0" applyFont="1" applyNumberFormat="1"/>
    <xf borderId="0" fillId="0" fontId="1" numFmtId="167" xfId="0" applyFont="1" applyNumberFormat="1"/>
    <xf borderId="0" fillId="0" fontId="22" numFmtId="0" xfId="0" applyAlignment="1" applyFont="1">
      <alignment horizontal="center" readingOrder="0" vertical="center"/>
    </xf>
    <xf borderId="9" fillId="6" fontId="10" numFmtId="0" xfId="0" applyAlignment="1" applyBorder="1" applyFill="1" applyFont="1">
      <alignment horizontal="center" readingOrder="0" vertical="center"/>
    </xf>
    <xf borderId="9" fillId="6" fontId="10" numFmtId="167" xfId="0" applyAlignment="1" applyBorder="1" applyFill="1" applyFont="1" applyNumberFormat="1">
      <alignment horizontal="center" readingOrder="0" vertical="center"/>
    </xf>
    <xf borderId="10" fillId="6" fontId="10" numFmtId="0" xfId="0" applyAlignment="1" applyBorder="1" applyFill="1" applyFont="1">
      <alignment readingOrder="0"/>
    </xf>
    <xf borderId="11" fillId="7" fontId="23" numFmtId="0" xfId="0" applyBorder="1" applyFill="1" applyFont="1"/>
    <xf borderId="0" fillId="6" fontId="10" numFmtId="0" xfId="0" applyAlignment="1" applyFill="1" applyFont="1">
      <alignment readingOrder="0"/>
    </xf>
    <xf borderId="9" fillId="0" fontId="1" numFmtId="0" xfId="0" applyAlignment="1" applyBorder="1" applyFont="1">
      <alignment readingOrder="0" vertical="center"/>
    </xf>
    <xf borderId="9" fillId="0" fontId="1" numFmtId="164" xfId="0" applyAlignment="1" applyBorder="1" applyFont="1" applyNumberFormat="1">
      <alignment readingOrder="0" vertical="center"/>
    </xf>
    <xf borderId="9" fillId="0" fontId="1" numFmtId="0" xfId="0" applyAlignment="1" applyBorder="1" applyFont="1">
      <alignment vertical="center"/>
    </xf>
    <xf borderId="9" fillId="0" fontId="24" numFmtId="0" xfId="0" applyAlignment="1" applyBorder="1" applyFont="1">
      <alignment readingOrder="0" vertical="center"/>
    </xf>
    <xf borderId="1" fillId="8" fontId="1" numFmtId="0" xfId="0" applyAlignment="1" applyBorder="1" applyFill="1" applyFont="1">
      <alignment readingOrder="0"/>
    </xf>
    <xf borderId="1" fillId="8" fontId="1" numFmtId="0" xfId="0" applyBorder="1" applyFill="1" applyFont="1"/>
    <xf borderId="0" fillId="8" fontId="1" numFmtId="166" xfId="0" applyFill="1" applyFont="1" applyNumberFormat="1"/>
    <xf borderId="0" fillId="8" fontId="1" numFmtId="0" xfId="0" applyFill="1" applyFont="1"/>
    <xf borderId="1" fillId="7" fontId="1" numFmtId="0" xfId="0" applyAlignment="1" applyBorder="1" applyFill="1" applyFont="1">
      <alignment readingOrder="0"/>
    </xf>
    <xf borderId="1" fillId="7" fontId="1" numFmtId="0" xfId="0" applyBorder="1" applyFill="1" applyFont="1"/>
    <xf borderId="0" fillId="7" fontId="1" numFmtId="166" xfId="0" applyFill="1" applyFont="1" applyNumberFormat="1"/>
    <xf borderId="0" fillId="7" fontId="1" numFmtId="0" xfId="0" applyFill="1" applyFont="1"/>
    <xf borderId="1" fillId="6" fontId="10" numFmtId="0" xfId="0" applyAlignment="1" applyBorder="1" applyFill="1" applyFont="1">
      <alignment readingOrder="0"/>
    </xf>
    <xf borderId="1" fillId="0" fontId="1" numFmtId="164" xfId="0" applyAlignment="1" applyBorder="1" applyFont="1" applyNumberFormat="1">
      <alignment readingOrder="0"/>
    </xf>
    <xf borderId="1" fillId="0" fontId="1" numFmtId="0" xfId="0" applyBorder="1" applyFont="1"/>
    <xf borderId="1" fillId="7" fontId="1" numFmtId="164" xfId="0" applyBorder="1" applyFill="1" applyFont="1" applyNumberFormat="1"/>
    <xf borderId="1" fillId="8" fontId="1" numFmtId="164" xfId="0" applyBorder="1" applyFill="1" applyFont="1" applyNumberFormat="1"/>
    <xf borderId="0" fillId="0" fontId="9" numFmtId="0" xfId="0" applyFont="1"/>
    <xf borderId="9" fillId="0" fontId="25" numFmtId="0" xfId="0" applyAlignment="1" applyBorder="1" applyFont="1">
      <alignment readingOrder="0" vertical="center"/>
    </xf>
    <xf borderId="1" fillId="0" fontId="1" numFmtId="0" xfId="0" applyAlignment="1" applyBorder="1" applyFont="1">
      <alignment readingOrder="0"/>
    </xf>
    <xf borderId="1" fillId="0" fontId="8" numFmtId="0" xfId="0" applyAlignment="1" applyBorder="1" applyFont="1">
      <alignment horizontal="center"/>
    </xf>
    <xf borderId="0" fillId="0" fontId="16" numFmtId="0" xfId="0" applyAlignment="1" applyFont="1">
      <alignment horizontal="center"/>
    </xf>
    <xf borderId="0" fillId="0" fontId="26" numFmtId="0" xfId="0" applyAlignment="1" applyFont="1">
      <alignment horizontal="center" readingOrder="0"/>
    </xf>
    <xf borderId="0" fillId="0" fontId="27" numFmtId="0" xfId="0" applyAlignment="1" applyFont="1">
      <alignment horizontal="center"/>
    </xf>
    <xf borderId="0" fillId="0" fontId="27" numFmtId="0" xfId="0" applyFont="1"/>
    <xf borderId="1" fillId="3" fontId="10" numFmtId="0" xfId="0" applyAlignment="1" applyBorder="1" applyFill="1" applyFont="1">
      <alignment horizontal="center" readingOrder="0" shrinkToFit="0" wrapText="1"/>
    </xf>
    <xf borderId="1" fillId="3" fontId="10" numFmtId="0" xfId="0" applyAlignment="1" applyBorder="1" applyFill="1" applyFont="1">
      <alignment horizontal="center" shrinkToFit="0" wrapText="1"/>
    </xf>
    <xf borderId="1" fillId="3" fontId="10" numFmtId="0" xfId="0" applyAlignment="1" applyBorder="1" applyFill="1" applyFont="1">
      <alignment horizontal="center" readingOrder="0" shrinkToFit="0" wrapText="1"/>
    </xf>
    <xf borderId="1" fillId="0" fontId="28" numFmtId="0" xfId="0" applyAlignment="1" applyBorder="1" applyFont="1">
      <alignment horizontal="center" readingOrder="0"/>
    </xf>
    <xf borderId="1" fillId="0" fontId="28" numFmtId="0" xfId="0" applyAlignment="1" applyBorder="1" applyFont="1">
      <alignment readingOrder="0"/>
    </xf>
    <xf borderId="1" fillId="0" fontId="28" numFmtId="164" xfId="0" applyAlignment="1" applyBorder="1" applyFont="1" applyNumberFormat="1">
      <alignment readingOrder="0"/>
    </xf>
    <xf borderId="1" fillId="0" fontId="28" numFmtId="0" xfId="0" applyBorder="1" applyFont="1"/>
    <xf borderId="1" fillId="0" fontId="29" numFmtId="0" xfId="0" applyAlignment="1" applyBorder="1" applyFont="1">
      <alignment readingOrder="0"/>
    </xf>
    <xf borderId="1" fillId="0" fontId="30" numFmtId="46" xfId="0" applyBorder="1" applyFont="1" applyNumberFormat="1"/>
    <xf borderId="0" fillId="9" fontId="1" numFmtId="0" xfId="0" applyFill="1" applyFont="1"/>
    <xf borderId="0" fillId="10" fontId="1" numFmtId="0" xfId="0" applyFill="1" applyFont="1"/>
    <xf borderId="0" fillId="0" fontId="1" numFmtId="46" xfId="0" applyFont="1" applyNumberFormat="1"/>
    <xf borderId="0" fillId="0" fontId="22" numFmtId="0" xfId="0" applyAlignment="1" applyFont="1">
      <alignment horizontal="center" vertical="center"/>
    </xf>
    <xf borderId="0" fillId="0" fontId="31" numFmtId="0" xfId="0" applyAlignment="1" applyFont="1">
      <alignment readingOrder="0"/>
    </xf>
    <xf borderId="0" fillId="0" fontId="1" numFmtId="0" xfId="0" applyAlignment="1" applyFont="1">
      <alignment readingOrder="0"/>
    </xf>
    <xf borderId="1" fillId="0" fontId="8" numFmtId="164" xfId="0" applyAlignment="1" applyBorder="1" applyFont="1" applyNumberFormat="1">
      <alignment horizontal="right"/>
    </xf>
    <xf borderId="12" fillId="6" fontId="10" numFmtId="46" xfId="0" applyAlignment="1" applyBorder="1" applyFill="1" applyFont="1" applyNumberFormat="1">
      <alignment horizontal="center" readingOrder="0" vertical="center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horizontal="left" readingOrder="0" shrinkToFit="0" vertical="center" wrapText="0"/>
    </xf>
    <xf borderId="0" fillId="0" fontId="1" numFmtId="46" xfId="0" applyFont="1" applyNumberFormat="1"/>
    <xf borderId="0" fillId="0" fontId="1" numFmtId="164" xfId="0" applyAlignment="1" applyFont="1" applyNumberFormat="1">
      <alignment shrinkToFit="0" vertical="center" wrapText="0"/>
    </xf>
    <xf borderId="13" fillId="0" fontId="32" numFmtId="0" xfId="0" applyAlignment="1" applyBorder="1" applyFont="1">
      <alignment readingOrder="0" vertical="center"/>
    </xf>
    <xf borderId="0" fillId="0" fontId="1" numFmtId="0" xfId="0" applyAlignment="1" applyFont="1">
      <alignment shrinkToFit="0" vertical="center" wrapText="0"/>
    </xf>
    <xf borderId="1" fillId="0" fontId="33" numFmtId="45" xfId="0" applyAlignment="1" applyBorder="1" applyFont="1" applyNumberFormat="1">
      <alignment readingOrder="0" shrinkToFit="0" vertical="bottom" wrapText="0"/>
    </xf>
    <xf borderId="0" fillId="0" fontId="1" numFmtId="165" xfId="0" applyFont="1" applyNumberFormat="1"/>
    <xf borderId="1" fillId="7" fontId="1" numFmtId="45" xfId="0" applyBorder="1" applyFill="1" applyFont="1" applyNumberFormat="1"/>
    <xf borderId="0" fillId="0" fontId="1" numFmtId="168" xfId="0" applyFont="1" applyNumberFormat="1"/>
    <xf borderId="13" fillId="0" fontId="34" numFmtId="0" xfId="0" applyAlignment="1" applyBorder="1" applyFont="1">
      <alignment readingOrder="0" vertical="center"/>
    </xf>
    <xf borderId="1" fillId="8" fontId="28" numFmtId="0" xfId="0" applyAlignment="1" applyBorder="1" applyFill="1" applyFont="1">
      <alignment horizontal="center" readingOrder="0"/>
    </xf>
    <xf borderId="1" fillId="8" fontId="28" numFmtId="0" xfId="0" applyAlignment="1" applyBorder="1" applyFill="1" applyFont="1">
      <alignment readingOrder="0"/>
    </xf>
    <xf borderId="1" fillId="8" fontId="28" numFmtId="164" xfId="0" applyAlignment="1" applyBorder="1" applyFill="1" applyFont="1" applyNumberFormat="1">
      <alignment readingOrder="0"/>
    </xf>
    <xf borderId="1" fillId="8" fontId="28" numFmtId="0" xfId="0" applyBorder="1" applyFill="1" applyFont="1"/>
    <xf borderId="1" fillId="8" fontId="35" numFmtId="0" xfId="0" applyAlignment="1" applyBorder="1" applyFill="1" applyFont="1">
      <alignment readingOrder="0"/>
    </xf>
    <xf borderId="1" fillId="11" fontId="28" numFmtId="0" xfId="0" applyAlignment="1" applyBorder="1" applyFill="1" applyFont="1">
      <alignment horizontal="center" readingOrder="0"/>
    </xf>
    <xf borderId="1" fillId="11" fontId="28" numFmtId="0" xfId="0" applyAlignment="1" applyBorder="1" applyFill="1" applyFont="1">
      <alignment readingOrder="0"/>
    </xf>
    <xf borderId="1" fillId="11" fontId="28" numFmtId="164" xfId="0" applyAlignment="1" applyBorder="1" applyFill="1" applyFont="1" applyNumberFormat="1">
      <alignment readingOrder="0"/>
    </xf>
    <xf borderId="1" fillId="11" fontId="28" numFmtId="0" xfId="0" applyBorder="1" applyFill="1" applyFont="1"/>
    <xf borderId="1" fillId="11" fontId="36" numFmtId="0" xfId="0" applyAlignment="1" applyBorder="1" applyFill="1" applyFont="1">
      <alignment readingOrder="0"/>
    </xf>
    <xf borderId="0" fillId="0" fontId="1" numFmtId="166" xfId="0" applyFont="1" applyNumberFormat="1"/>
    <xf borderId="0" fillId="0" fontId="37" numFmtId="0" xfId="0" applyFont="1"/>
    <xf borderId="14" fillId="12" fontId="10" numFmtId="0" xfId="0" applyAlignment="1" applyBorder="1" applyFill="1" applyFont="1">
      <alignment horizontal="center" readingOrder="0"/>
    </xf>
    <xf borderId="1" fillId="12" fontId="10" numFmtId="0" xfId="0" applyAlignment="1" applyBorder="1" applyFill="1" applyFont="1">
      <alignment horizontal="center" readingOrder="0"/>
    </xf>
    <xf borderId="1" fillId="12" fontId="10" numFmtId="0" xfId="0" applyAlignment="1" applyBorder="1" applyFill="1" applyFont="1">
      <alignment horizontal="center"/>
    </xf>
    <xf borderId="10" fillId="12" fontId="10" numFmtId="0" xfId="0" applyAlignment="1" applyBorder="1" applyFill="1" applyFont="1">
      <alignment horizontal="center" readingOrder="0"/>
    </xf>
    <xf borderId="11" fillId="0" fontId="23" numFmtId="0" xfId="0" applyBorder="1" applyFont="1"/>
    <xf borderId="0" fillId="0" fontId="1" numFmtId="0" xfId="0" applyAlignment="1" applyFont="1">
      <alignment horizontal="center" readingOrder="0" vertical="center"/>
    </xf>
    <xf borderId="0" fillId="0" fontId="1" numFmtId="164" xfId="0" applyAlignment="1" applyFont="1" applyNumberFormat="1">
      <alignment horizontal="center" readingOrder="0" vertical="center"/>
    </xf>
    <xf borderId="0" fillId="0" fontId="1" numFmtId="0" xfId="0" applyAlignment="1" applyFont="1">
      <alignment horizontal="center" vertical="center"/>
    </xf>
    <xf borderId="0" fillId="0" fontId="38" numFmtId="0" xfId="0" applyAlignment="1" applyFont="1">
      <alignment horizontal="center" readingOrder="0" vertical="center"/>
    </xf>
    <xf borderId="10" fillId="5" fontId="1" numFmtId="166" xfId="0" applyAlignment="1" applyBorder="1" applyFill="1" applyFont="1" applyNumberFormat="1">
      <alignment horizontal="center"/>
    </xf>
    <xf borderId="11" fillId="5" fontId="23" numFmtId="0" xfId="0" applyBorder="1" applyFill="1" applyFont="1"/>
    <xf borderId="10" fillId="8" fontId="1" numFmtId="166" xfId="0" applyAlignment="1" applyBorder="1" applyFill="1" applyFont="1" applyNumberFormat="1">
      <alignment horizontal="center"/>
    </xf>
    <xf borderId="11" fillId="8" fontId="23" numFmtId="0" xfId="0" applyBorder="1" applyFill="1" applyFont="1"/>
    <xf quotePrefix="1" borderId="1" fillId="0" fontId="1" numFmtId="169" xfId="0" applyAlignment="1" applyBorder="1" applyFont="1" applyNumberFormat="1">
      <alignment readingOrder="0"/>
    </xf>
    <xf quotePrefix="1" borderId="1" fillId="0" fontId="1" numFmtId="164" xfId="0" applyAlignment="1" applyBorder="1" applyFont="1" applyNumberFormat="1">
      <alignment readingOrder="0"/>
    </xf>
    <xf borderId="1" fillId="0" fontId="1" numFmtId="164" xfId="0" applyBorder="1" applyFont="1" applyNumberFormat="1"/>
    <xf borderId="0" fillId="0" fontId="39" numFmtId="0" xfId="0" applyFont="1"/>
    <xf borderId="9" fillId="6" fontId="40" numFmtId="0" xfId="0" applyAlignment="1" applyBorder="1" applyFill="1" applyFont="1">
      <alignment readingOrder="0"/>
    </xf>
    <xf borderId="9" fillId="7" fontId="41" numFmtId="0" xfId="0" applyBorder="1" applyFill="1" applyFont="1"/>
    <xf borderId="9" fillId="7" fontId="41" numFmtId="166" xfId="0" applyBorder="1" applyFill="1" applyFont="1" applyNumberFormat="1"/>
    <xf quotePrefix="1" borderId="1" fillId="0" fontId="1" numFmtId="164" xfId="0" applyAlignment="1" applyBorder="1" applyFont="1" applyNumberFormat="1">
      <alignment readingOrder="0"/>
    </xf>
    <xf borderId="12" fillId="7" fontId="41" numFmtId="0" xfId="0" applyBorder="1" applyFill="1" applyFont="1"/>
    <xf borderId="12" fillId="7" fontId="41" numFmtId="166" xfId="0" applyBorder="1" applyFill="1" applyFont="1" applyNumberFormat="1"/>
    <xf borderId="15" fillId="0" fontId="1" numFmtId="0" xfId="0" applyBorder="1" applyFont="1"/>
    <xf borderId="15" fillId="0" fontId="1" numFmtId="166" xfId="0" applyBorder="1" applyFont="1" applyNumberFormat="1"/>
    <xf borderId="0" fillId="0" fontId="1" numFmtId="2" xfId="0" applyFont="1" applyNumberFormat="1"/>
    <xf borderId="0" fillId="0" fontId="16" numFmtId="0" xfId="0" applyAlignment="1" applyFont="1">
      <alignment readingOrder="0"/>
    </xf>
  </cellXfs>
  <cellStyles count="1">
    <cellStyle xfId="0" name="Normal" builtinId="0"/>
  </cellStyles>
  <dxfs count="16">
    <dxf>
      <font/>
      <fill>
        <patternFill patternType="none"/>
      </fill>
      <border/>
    </dxf>
    <dxf>
      <font/>
      <fill>
        <patternFill patternType="solid">
          <fgColor rgb="FFFFF7F5"/>
          <bgColor rgb="FFFFF7F5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895021"/>
          <bgColor rgb="FF895021"/>
        </patternFill>
      </fill>
      <border/>
    </dxf>
    <dxf>
      <font/>
      <fill>
        <patternFill patternType="solid">
          <fgColor rgb="FFFFF8F5"/>
          <bgColor rgb="FFFFF8F5"/>
        </patternFill>
      </fill>
      <border/>
    </dxf>
    <dxf>
      <font>
        <color rgb="FF214F28"/>
      </font>
      <fill>
        <patternFill patternType="solid">
          <fgColor rgb="FFD8EDD3"/>
          <bgColor rgb="FFD8EDD3"/>
        </patternFill>
      </fill>
      <border/>
    </dxf>
    <dxf>
      <font>
        <color rgb="FFA83835"/>
      </font>
      <fill>
        <patternFill patternType="solid">
          <fgColor rgb="FFF9E2E0"/>
          <bgColor rgb="FFF9E2E0"/>
        </patternFill>
      </fill>
      <border/>
    </dxf>
    <dxf>
      <font>
        <color rgb="FFAD7214"/>
      </font>
      <fill>
        <patternFill patternType="solid">
          <fgColor rgb="FFFCEFD3"/>
          <bgColor rgb="FFFCEFD3"/>
        </patternFill>
      </fill>
      <border/>
    </dxf>
    <dxf>
      <font/>
      <fill>
        <patternFill patternType="solid">
          <fgColor rgb="FFFFF8F6"/>
          <bgColor rgb="FFFFF8F6"/>
        </patternFill>
      </fill>
      <border/>
    </dxf>
    <dxf>
      <font/>
      <fill>
        <patternFill patternType="solid">
          <fgColor rgb="FFFFF8F7"/>
          <bgColor rgb="FFFFF8F7"/>
        </patternFill>
      </fill>
      <border/>
    </dxf>
    <dxf>
      <font/>
      <fill>
        <patternFill patternType="solid">
          <fgColor rgb="FF535FC1"/>
          <bgColor rgb="FF535FC1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535FC1"/>
        </left>
        <right style="thin">
          <color rgb="FF535FC1"/>
        </right>
        <top style="thin">
          <color rgb="FF535FC1"/>
        </top>
        <bottom style="thin">
          <color rgb="FF535FC1"/>
        </bottom>
      </border>
    </dxf>
    <dxf>
      <font>
        <color rgb="FF26753A"/>
      </font>
      <fill>
        <patternFill patternType="solid">
          <fgColor rgb="FFD8EDD3"/>
          <bgColor rgb="FFD8EDD3"/>
        </patternFill>
      </fill>
      <border/>
    </dxf>
    <dxf>
      <font>
        <color rgb="FF990000"/>
      </font>
      <fill>
        <patternFill patternType="solid">
          <fgColor rgb="FFF4CCCC"/>
          <bgColor rgb="FFF4CCCC"/>
        </patternFill>
      </fill>
      <border/>
    </dxf>
    <dxf>
      <font>
        <color rgb="FFBF8E00"/>
      </font>
      <fill>
        <patternFill patternType="solid">
          <fgColor rgb="FFFFF2CC"/>
          <bgColor rgb="FFFFF2CC"/>
        </patternFill>
      </fill>
      <border/>
    </dxf>
  </dxfs>
  <tableStyles count="20">
    <tableStyle count="2" pivot="0" name="Scriptures Tracker-style">
      <tableStyleElement dxfId="1" type="firstRowStripe"/>
      <tableStyleElement dxfId="2" type="secondRowStripe"/>
    </tableStyle>
    <tableStyle count="2" pivot="0" name="Scriptures Tracker-style 2">
      <tableStyleElement dxfId="1" type="firstRowStripe"/>
      <tableStyleElement dxfId="2" type="secondRowStripe"/>
    </tableStyle>
    <tableStyle count="3" pivot="0" name="Bhagavadgita Tracker-style">
      <tableStyleElement dxfId="3" type="headerRow"/>
      <tableStyleElement dxfId="4" type="firstRowStripe"/>
      <tableStyleElement dxfId="2" type="secondRowStripe"/>
    </tableStyle>
    <tableStyle count="3" pivot="0" name="ADITHYA HRIDAYAM-style">
      <tableStyleElement dxfId="3" type="headerRow"/>
      <tableStyleElement dxfId="4" type="firstRowStripe"/>
      <tableStyleElement dxfId="2" type="secondRowStripe"/>
    </tableStyle>
    <tableStyle count="3" pivot="0" name="Sootha Samhitha-style">
      <tableStyleElement dxfId="3" type="headerRow"/>
      <tableStyleElement dxfId="4" type="firstRowStripe"/>
      <tableStyleElement dxfId="2" type="secondRowStripe"/>
    </tableStyle>
    <tableStyle count="2" pivot="0" name="Sandhyavandhanam Tracker-style">
      <tableStyleElement dxfId="8" type="firstRowStripe"/>
      <tableStyleElement dxfId="2" type="secondRowStripe"/>
    </tableStyle>
    <tableStyle count="2" pivot="0" name="Sandhyavandhanam Tracker-style 2">
      <tableStyleElement dxfId="8" type="firstRowStripe"/>
      <tableStyleElement dxfId="2" type="secondRowStripe"/>
    </tableStyle>
    <tableStyle count="2" pivot="0" name="Sandhyavandhanam Tracker-style 3">
      <tableStyleElement dxfId="8" type="firstRowStripe"/>
      <tableStyleElement dxfId="2" type="secondRowStripe"/>
    </tableStyle>
    <tableStyle count="3" pivot="0" name="Sanskrit Tracker-style">
      <tableStyleElement dxfId="3" type="headerRow"/>
      <tableStyleElement dxfId="4" type="firstRowStripe"/>
      <tableStyleElement dxfId="2" type="secondRowStripe"/>
    </tableStyle>
    <tableStyle count="2" pivot="0" name="Lalitha Tracker-style">
      <tableStyleElement dxfId="9" type="firstRowStripe"/>
      <tableStyleElement dxfId="2" type="secondRowStripe"/>
    </tableStyle>
    <tableStyle count="4" pivot="0" name="Lalitha Tracker-style 2">
      <tableStyleElement dxfId="10" type="headerRow"/>
      <tableStyleElement dxfId="2" type="firstRowStripe"/>
      <tableStyleElement dxfId="11" type="secondRowStripe"/>
      <tableStyleElement dxfId="12" size="0" type="wholeTable"/>
    </tableStyle>
    <tableStyle count="2" pivot="0" name="Sri Rudram Tracker-style">
      <tableStyleElement dxfId="8" type="firstRowStripe"/>
      <tableStyleElement dxfId="2" type="secondRowStripe"/>
    </tableStyle>
    <tableStyle count="2" pivot="0" name="Sri Rudram Tracker-style 2">
      <tableStyleElement dxfId="8" type="firstRowStripe"/>
      <tableStyleElement dxfId="2" type="secondRowStripe"/>
    </tableStyle>
    <tableStyle count="2" pivot="0" name="Sri Rudram Tracker-style 3">
      <tableStyleElement dxfId="8" type="firstRowStripe"/>
      <tableStyleElement dxfId="2" type="secondRowStripe"/>
    </tableStyle>
    <tableStyle count="2" pivot="0" name="Katha Upanishad-style">
      <tableStyleElement dxfId="4" type="firstRowStripe"/>
      <tableStyleElement dxfId="2" type="secondRowStripe"/>
    </tableStyle>
    <tableStyle count="2" pivot="0" name="Katha Upanishad-style 2">
      <tableStyleElement dxfId="4" type="firstRowStripe"/>
      <tableStyleElement dxfId="2" type="secondRowStripe"/>
    </tableStyle>
    <tableStyle count="2" pivot="0" name="Katha Upanishad-style 3">
      <tableStyleElement dxfId="4" type="firstRowStripe"/>
      <tableStyleElement dxfId="2" type="secondRowStripe"/>
    </tableStyle>
    <tableStyle count="2" pivot="0" name="Katha Upanishad-style 4">
      <tableStyleElement dxfId="4" type="firstRowStripe"/>
      <tableStyleElement dxfId="2" type="secondRowStripe"/>
    </tableStyle>
    <tableStyle count="3" pivot="0" name="Devi Bhaagavatham Tracker-style">
      <tableStyleElement dxfId="3" type="headerRow"/>
      <tableStyleElement dxfId="4" type="firstRowStripe"/>
      <tableStyleElement dxfId="2" type="secondRowStripe"/>
    </tableStyle>
    <tableStyle count="3" pivot="0" name="Garuda Mahapuranam-style">
      <tableStyleElement dxfId="3" type="headerRow"/>
      <tableStyleElement dxfId="4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Roboto"/>
              </a:defRPr>
            </a:pPr>
            <a:r>
              <a:rPr b="0">
                <a:solidFill>
                  <a:srgbClr val="757575"/>
                </a:solidFill>
                <a:latin typeface="Roboto"/>
              </a:rPr>
              <a:t>Course Progress</a:t>
            </a:r>
          </a:p>
        </c:rich>
      </c:tx>
      <c:overlay val="0"/>
    </c:title>
    <c:plotArea>
      <c:layout/>
      <c:barChart>
        <c:barDir val="bar"/>
        <c:grouping val="percentStacked"/>
        <c:ser>
          <c:idx val="0"/>
          <c:order val="0"/>
          <c:tx>
            <c:strRef>
              <c:f>'ADITHYA HRIDAYAM'!$L$16</c:f>
            </c:strRef>
          </c:tx>
          <c:spPr>
            <a:solidFill>
              <a:srgbClr val="4BAE50"/>
            </a:solidFill>
            <a:ln cmpd="sng">
              <a:noFill/>
            </a:ln>
          </c:spPr>
          <c:cat>
            <c:strRef>
              <c:f>'ADITHYA HRIDAYAM'!$K$17</c:f>
            </c:strRef>
          </c:cat>
          <c:val>
            <c:numRef>
              <c:f>'ADITHYA HRIDAYAM'!$L$17</c:f>
              <c:numCache/>
            </c:numRef>
          </c:val>
        </c:ser>
        <c:ser>
          <c:idx val="1"/>
          <c:order val="1"/>
          <c:tx>
            <c:strRef>
              <c:f>'ADITHYA HRIDAYAM'!$M$16</c:f>
            </c:strRef>
          </c:tx>
          <c:spPr>
            <a:solidFill>
              <a:srgbClr val="D22E2E"/>
            </a:solidFill>
            <a:ln cmpd="sng">
              <a:noFill/>
            </a:ln>
          </c:spPr>
          <c:cat>
            <c:strRef>
              <c:f>'ADITHYA HRIDAYAM'!$K$17</c:f>
            </c:strRef>
          </c:cat>
          <c:val>
            <c:numRef>
              <c:f>'ADITHYA HRIDAYAM'!$M$17</c:f>
              <c:numCache/>
            </c:numRef>
          </c:val>
        </c:ser>
        <c:overlap val="100"/>
        <c:axId val="544325661"/>
        <c:axId val="1351087118"/>
      </c:barChart>
      <c:catAx>
        <c:axId val="544325661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351087118"/>
      </c:catAx>
      <c:valAx>
        <c:axId val="1351087118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544325661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Roboto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Roboto"/>
              </a:defRPr>
            </a:pPr>
            <a:r>
              <a:rPr b="0">
                <a:solidFill>
                  <a:srgbClr val="757575"/>
                </a:solidFill>
                <a:latin typeface="Roboto"/>
              </a:rPr>
              <a:t>Videos Completed per Month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'ADITHYA HRIDAYAM'!$O$7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'ADITHYA HRIDAYAM'!$N$8:$N$13</c:f>
            </c:strRef>
          </c:cat>
          <c:val>
            <c:numRef>
              <c:f>'ADITHYA HRIDAYAM'!$O$8:$O$13</c:f>
              <c:numCache/>
            </c:numRef>
          </c:val>
        </c:ser>
        <c:axId val="1144875151"/>
        <c:axId val="811786535"/>
      </c:barChart>
      <c:catAx>
        <c:axId val="114487515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811786535"/>
      </c:catAx>
      <c:valAx>
        <c:axId val="81178653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144875151"/>
      </c:valAx>
    </c:plotArea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Roboto"/>
              </a:defRPr>
            </a:pPr>
            <a:r>
              <a:rPr b="0">
                <a:solidFill>
                  <a:srgbClr val="757575"/>
                </a:solidFill>
                <a:latin typeface="Roboto"/>
              </a:rPr>
              <a:t>Course Progress</a:t>
            </a:r>
          </a:p>
        </c:rich>
      </c:tx>
      <c:overlay val="0"/>
    </c:title>
    <c:plotArea>
      <c:layout/>
      <c:barChart>
        <c:barDir val="bar"/>
        <c:grouping val="percentStacked"/>
        <c:ser>
          <c:idx val="0"/>
          <c:order val="0"/>
          <c:tx>
            <c:strRef>
              <c:f>'Bhagavadgita Tracker'!$L$16</c:f>
            </c:strRef>
          </c:tx>
          <c:spPr>
            <a:solidFill>
              <a:srgbClr val="4BAE50"/>
            </a:solidFill>
            <a:ln cmpd="sng">
              <a:noFill/>
            </a:ln>
          </c:spPr>
          <c:cat>
            <c:strRef>
              <c:f>'Bhagavadgita Tracker'!$K$17</c:f>
            </c:strRef>
          </c:cat>
          <c:val>
            <c:numRef>
              <c:f>'Bhagavadgita Tracker'!$L$17</c:f>
              <c:numCache/>
            </c:numRef>
          </c:val>
        </c:ser>
        <c:ser>
          <c:idx val="1"/>
          <c:order val="1"/>
          <c:tx>
            <c:strRef>
              <c:f>'Bhagavadgita Tracker'!$M$16</c:f>
            </c:strRef>
          </c:tx>
          <c:spPr>
            <a:solidFill>
              <a:srgbClr val="D22E2E"/>
            </a:solidFill>
            <a:ln cmpd="sng">
              <a:noFill/>
            </a:ln>
          </c:spPr>
          <c:cat>
            <c:strRef>
              <c:f>'Bhagavadgita Tracker'!$K$17</c:f>
            </c:strRef>
          </c:cat>
          <c:val>
            <c:numRef>
              <c:f>'Bhagavadgita Tracker'!$M$17</c:f>
              <c:numCache/>
            </c:numRef>
          </c:val>
        </c:ser>
        <c:overlap val="100"/>
        <c:axId val="2129532013"/>
        <c:axId val="6937484"/>
      </c:barChart>
      <c:catAx>
        <c:axId val="2129532013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6937484"/>
      </c:catAx>
      <c:valAx>
        <c:axId val="6937484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2129532013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Roboto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Roboto"/>
              </a:defRPr>
            </a:pPr>
            <a:r>
              <a:rPr b="0">
                <a:solidFill>
                  <a:srgbClr val="757575"/>
                </a:solidFill>
                <a:latin typeface="Roboto"/>
              </a:rPr>
              <a:t>Videos Completed per Month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'Bhagavadgita Tracker'!$O$7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'Bhagavadgita Tracker'!$N$8:$N$13</c:f>
            </c:strRef>
          </c:cat>
          <c:val>
            <c:numRef>
              <c:f>'Bhagavadgita Tracker'!$O$8:$O$13</c:f>
              <c:numCache/>
            </c:numRef>
          </c:val>
        </c:ser>
        <c:axId val="2095082456"/>
        <c:axId val="2055244622"/>
      </c:barChart>
      <c:catAx>
        <c:axId val="209508245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2055244622"/>
      </c:catAx>
      <c:valAx>
        <c:axId val="205524462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2095082456"/>
      </c:valAx>
    </c:plotArea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Roboto"/>
              </a:defRPr>
            </a:pPr>
            <a:r>
              <a:rPr b="0">
                <a:solidFill>
                  <a:srgbClr val="757575"/>
                </a:solidFill>
                <a:latin typeface="Roboto"/>
              </a:rPr>
              <a:t>Course Progress</a:t>
            </a:r>
          </a:p>
        </c:rich>
      </c:tx>
      <c:overlay val="0"/>
    </c:title>
    <c:plotArea>
      <c:layout/>
      <c:barChart>
        <c:barDir val="bar"/>
        <c:grouping val="percentStacked"/>
        <c:ser>
          <c:idx val="0"/>
          <c:order val="0"/>
          <c:tx>
            <c:strRef>
              <c:f>'Sootha Samhitha'!$L$16</c:f>
            </c:strRef>
          </c:tx>
          <c:spPr>
            <a:solidFill>
              <a:srgbClr val="4BAE50"/>
            </a:solidFill>
            <a:ln cmpd="sng">
              <a:noFill/>
            </a:ln>
          </c:spPr>
          <c:cat>
            <c:strRef>
              <c:f>'Sootha Samhitha'!$K$17</c:f>
            </c:strRef>
          </c:cat>
          <c:val>
            <c:numRef>
              <c:f>'Sootha Samhitha'!$L$17</c:f>
              <c:numCache/>
            </c:numRef>
          </c:val>
        </c:ser>
        <c:ser>
          <c:idx val="1"/>
          <c:order val="1"/>
          <c:tx>
            <c:strRef>
              <c:f>'Sootha Samhitha'!$M$16</c:f>
            </c:strRef>
          </c:tx>
          <c:spPr>
            <a:solidFill>
              <a:srgbClr val="D22E2E"/>
            </a:solidFill>
            <a:ln cmpd="sng">
              <a:noFill/>
            </a:ln>
          </c:spPr>
          <c:cat>
            <c:strRef>
              <c:f>'Sootha Samhitha'!$K$17</c:f>
            </c:strRef>
          </c:cat>
          <c:val>
            <c:numRef>
              <c:f>'Sootha Samhitha'!$M$17</c:f>
              <c:numCache/>
            </c:numRef>
          </c:val>
        </c:ser>
        <c:overlap val="100"/>
        <c:axId val="2082479005"/>
        <c:axId val="289071671"/>
      </c:barChart>
      <c:catAx>
        <c:axId val="2082479005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289071671"/>
      </c:catAx>
      <c:valAx>
        <c:axId val="289071671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2082479005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Roboto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Roboto"/>
              </a:defRPr>
            </a:pPr>
            <a:r>
              <a:rPr b="0">
                <a:solidFill>
                  <a:srgbClr val="757575"/>
                </a:solidFill>
                <a:latin typeface="Roboto"/>
              </a:rPr>
              <a:t>Videos Completed per Month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'Sootha Samhitha'!$O$7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'Sootha Samhitha'!$N$8:$N$13</c:f>
            </c:strRef>
          </c:cat>
          <c:val>
            <c:numRef>
              <c:f>'Sootha Samhitha'!$O$8:$O$13</c:f>
              <c:numCache/>
            </c:numRef>
          </c:val>
        </c:ser>
        <c:axId val="899059297"/>
        <c:axId val="1166676098"/>
      </c:barChart>
      <c:catAx>
        <c:axId val="89905929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166676098"/>
      </c:catAx>
      <c:valAx>
        <c:axId val="116667609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899059297"/>
      </c:valAx>
    </c:plotArea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Course Progress</a:t>
            </a:r>
          </a:p>
        </c:rich>
      </c:tx>
      <c:overlay val="0"/>
    </c:title>
    <c:plotArea>
      <c:layout/>
      <c:barChart>
        <c:barDir val="bar"/>
        <c:grouping val="percentStacked"/>
        <c:ser>
          <c:idx val="0"/>
          <c:order val="0"/>
          <c:tx>
            <c:strRef>
              <c:f>'Sandhyavandhanam Tracker'!$J$16</c:f>
            </c:strRef>
          </c:tx>
          <c:spPr>
            <a:solidFill>
              <a:srgbClr val="86B85A"/>
            </a:solidFill>
            <a:ln cmpd="sng">
              <a:noFill/>
            </a:ln>
          </c:spPr>
          <c:cat>
            <c:strRef>
              <c:f>'Sandhyavandhanam Tracker'!$I$17</c:f>
            </c:strRef>
          </c:cat>
          <c:val>
            <c:numRef>
              <c:f>'Sandhyavandhanam Tracker'!$J$17</c:f>
              <c:numCache/>
            </c:numRef>
          </c:val>
        </c:ser>
        <c:ser>
          <c:idx val="1"/>
          <c:order val="1"/>
          <c:tx>
            <c:strRef>
              <c:f>'Sandhyavandhanam Tracker'!$K$16</c:f>
            </c:strRef>
          </c:tx>
          <c:spPr>
            <a:solidFill>
              <a:srgbClr val="FF8978"/>
            </a:solidFill>
            <a:ln cmpd="sng">
              <a:noFill/>
            </a:ln>
          </c:spPr>
          <c:cat>
            <c:strRef>
              <c:f>'Sandhyavandhanam Tracker'!$I$17</c:f>
            </c:strRef>
          </c:cat>
          <c:val>
            <c:numRef>
              <c:f>'Sandhyavandhanam Tracker'!$K$17</c:f>
              <c:numCache/>
            </c:numRef>
          </c:val>
        </c:ser>
        <c:overlap val="100"/>
        <c:axId val="26897672"/>
        <c:axId val="537012249"/>
      </c:barChart>
      <c:catAx>
        <c:axId val="26897672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37012249"/>
      </c:catAx>
      <c:valAx>
        <c:axId val="537012249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6897672"/>
        <c:crosses val="max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Videos Completed per Month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'Sandhyavandhanam Tracker'!$O$7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'Sandhyavandhanam Tracker'!$N$8:$N$13</c:f>
            </c:strRef>
          </c:cat>
          <c:val>
            <c:numRef>
              <c:f>'Sandhyavandhanam Tracker'!$O$8:$O$13</c:f>
              <c:numCache/>
            </c:numRef>
          </c:val>
        </c:ser>
        <c:axId val="27461409"/>
        <c:axId val="839262209"/>
      </c:barChart>
      <c:catAx>
        <c:axId val="2746140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39262209"/>
      </c:catAx>
      <c:valAx>
        <c:axId val="83926220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7461409"/>
      </c:valAx>
    </c:plotArea>
    <c:plotVisOnly val="1"/>
  </c:chart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Roboto"/>
              </a:defRPr>
            </a:pPr>
            <a:r>
              <a:rPr b="0">
                <a:solidFill>
                  <a:srgbClr val="757575"/>
                </a:solidFill>
                <a:latin typeface="Roboto"/>
              </a:rPr>
              <a:t>Completed and pending</a:t>
            </a:r>
          </a:p>
        </c:rich>
      </c:tx>
      <c:overlay val="0"/>
    </c:title>
    <c:plotArea>
      <c:layout/>
      <c:barChart>
        <c:barDir val="bar"/>
        <c:grouping val="stacked"/>
        <c:ser>
          <c:idx val="0"/>
          <c:order val="0"/>
          <c:tx>
            <c:strRef>
              <c:f>'Scriptures Tracker'!$D$5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'Scriptures Tracker'!$C$6:$C$12</c:f>
            </c:strRef>
          </c:cat>
          <c:val>
            <c:numRef>
              <c:f>'Scriptures Tracker'!$D$6:$D$12</c:f>
              <c:numCache/>
            </c:numRef>
          </c:val>
        </c:ser>
        <c:ser>
          <c:idx val="1"/>
          <c:order val="1"/>
          <c:tx>
            <c:strRef>
              <c:f>'Scriptures Tracker'!$E$5</c:f>
            </c:strRef>
          </c:tx>
          <c:spPr>
            <a:solidFill>
              <a:schemeClr val="accent2"/>
            </a:solidFill>
            <a:ln cmpd="sng">
              <a:noFill/>
            </a:ln>
          </c:spPr>
          <c:cat>
            <c:strRef>
              <c:f>'Scriptures Tracker'!$C$6:$C$12</c:f>
            </c:strRef>
          </c:cat>
          <c:val>
            <c:numRef>
              <c:f>'Scriptures Tracker'!$E$6:$E$12</c:f>
              <c:numCache/>
            </c:numRef>
          </c:val>
        </c:ser>
        <c:overlap val="100"/>
        <c:axId val="1018271580"/>
        <c:axId val="1287254134"/>
      </c:barChart>
      <c:catAx>
        <c:axId val="1018271580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Scripture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287254134"/>
      </c:catAx>
      <c:valAx>
        <c:axId val="1287254134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018271580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Roboto"/>
            </a:defRPr>
          </a:pPr>
        </a:p>
      </c:txPr>
    </c:legend>
    <c:plotVisOnly val="1"/>
  </c:chart>
</c:chartSpace>
</file>

<file path=xl/charts/chart1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904A3C"/>
                </a:solidFill>
                <a:latin typeface="Arial"/>
              </a:defRPr>
            </a:pPr>
            <a:r>
              <a:rPr b="0">
                <a:solidFill>
                  <a:srgbClr val="904A3C"/>
                </a:solidFill>
                <a:latin typeface="Arial"/>
              </a:rPr>
              <a:t>Monthly Completion Trend</a:t>
            </a:r>
          </a:p>
        </c:rich>
      </c:tx>
      <c:overlay val="0"/>
    </c:title>
    <c:plotArea>
      <c:layout/>
      <c:areaChart>
        <c:ser>
          <c:idx val="0"/>
          <c:order val="0"/>
          <c:tx>
            <c:strRef>
              <c:f>Calc_Data!$E$1</c:f>
            </c:strRef>
          </c:tx>
          <c:spPr>
            <a:solidFill>
              <a:srgbClr val="904A3C">
                <a:alpha val="30000"/>
              </a:srgbClr>
            </a:solidFill>
            <a:ln cmpd="sng">
              <a:solidFill>
                <a:srgbClr val="904A3C"/>
              </a:solidFill>
            </a:ln>
          </c:spPr>
          <c:cat>
            <c:strRef>
              <c:f>Calc_Data!$D$2:$D$10</c:f>
            </c:strRef>
          </c:cat>
          <c:val>
            <c:numRef>
              <c:f>Calc_Data!$E$2:$E$10</c:f>
              <c:numCache/>
            </c:numRef>
          </c:val>
        </c:ser>
        <c:axId val="920572254"/>
        <c:axId val="2008108515"/>
      </c:areaChart>
      <c:catAx>
        <c:axId val="92057225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Month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08108515"/>
      </c:catAx>
      <c:valAx>
        <c:axId val="200810851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Completed Videos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20572254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904A3C"/>
                </a:solidFill>
                <a:latin typeface="Arial"/>
              </a:defRPr>
            </a:pPr>
            <a:r>
              <a:rPr b="0">
                <a:solidFill>
                  <a:srgbClr val="904A3C"/>
                </a:solidFill>
                <a:latin typeface="Arial"/>
              </a:rPr>
              <a:t>Overall Progress Breakdown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00FF00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Calc_Data!$A$1:$A$2</c:f>
            </c:strRef>
          </c:cat>
          <c:val>
            <c:numRef>
              <c:f>Calc_Data!$B$1:$B$2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Course Progress</a:t>
            </a:r>
          </a:p>
        </c:rich>
      </c:tx>
      <c:overlay val="0"/>
    </c:title>
    <c:plotArea>
      <c:layout/>
      <c:barChart>
        <c:barDir val="bar"/>
        <c:grouping val="percentStacked"/>
        <c:ser>
          <c:idx val="0"/>
          <c:order val="0"/>
          <c:tx>
            <c:strRef>
              <c:f>'Sanskrit Tracker'!$L$16</c:f>
            </c:strRef>
          </c:tx>
          <c:spPr>
            <a:solidFill>
              <a:srgbClr val="4BAE50"/>
            </a:solidFill>
            <a:ln cmpd="sng">
              <a:noFill/>
            </a:ln>
          </c:spPr>
          <c:cat>
            <c:strRef>
              <c:f>'Sanskrit Tracker'!$K$17</c:f>
            </c:strRef>
          </c:cat>
          <c:val>
            <c:numRef>
              <c:f>'Sanskrit Tracker'!$L$17</c:f>
              <c:numCache/>
            </c:numRef>
          </c:val>
        </c:ser>
        <c:ser>
          <c:idx val="1"/>
          <c:order val="1"/>
          <c:tx>
            <c:strRef>
              <c:f>'Sanskrit Tracker'!$M$16</c:f>
            </c:strRef>
          </c:tx>
          <c:spPr>
            <a:solidFill>
              <a:srgbClr val="D22E2E"/>
            </a:solidFill>
            <a:ln cmpd="sng">
              <a:noFill/>
            </a:ln>
          </c:spPr>
          <c:cat>
            <c:strRef>
              <c:f>'Sanskrit Tracker'!$K$17</c:f>
            </c:strRef>
          </c:cat>
          <c:val>
            <c:numRef>
              <c:f>'Sanskrit Tracker'!$M$17</c:f>
              <c:numCache/>
            </c:numRef>
          </c:val>
        </c:ser>
        <c:overlap val="100"/>
        <c:axId val="1900236276"/>
        <c:axId val="1999451454"/>
      </c:barChart>
      <c:catAx>
        <c:axId val="1900236276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99451454"/>
      </c:catAx>
      <c:valAx>
        <c:axId val="1999451454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00236276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Videos Completed per Month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'Sanskrit Tracker'!$O$7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'Sanskrit Tracker'!$N$8:$N$13</c:f>
            </c:strRef>
          </c:cat>
          <c:val>
            <c:numRef>
              <c:f>'Sanskrit Tracker'!$O$8:$O$13</c:f>
              <c:numCache/>
            </c:numRef>
          </c:val>
        </c:ser>
        <c:axId val="325211993"/>
        <c:axId val="686378108"/>
      </c:barChart>
      <c:catAx>
        <c:axId val="32521199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86378108"/>
      </c:catAx>
      <c:valAx>
        <c:axId val="68637810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25211993"/>
      </c:valAx>
    </c:plotArea>
    <c:plotVisOnly val="1"/>
  </c:chart>
</c:chartSpace>
</file>

<file path=xl/charts/chart1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Course Progress</a:t>
            </a:r>
          </a:p>
        </c:rich>
      </c:tx>
      <c:overlay val="0"/>
    </c:title>
    <c:plotArea>
      <c:layout/>
      <c:barChart>
        <c:barDir val="bar"/>
        <c:grouping val="percentStacked"/>
        <c:ser>
          <c:idx val="0"/>
          <c:order val="0"/>
          <c:tx>
            <c:strRef>
              <c:f>'Lalitha Tracker'!$J$16</c:f>
            </c:strRef>
          </c:tx>
          <c:spPr>
            <a:solidFill>
              <a:srgbClr val="33CC33"/>
            </a:solidFill>
            <a:ln cmpd="sng">
              <a:noFill/>
            </a:ln>
          </c:spPr>
          <c:cat>
            <c:strRef>
              <c:f>'Lalitha Tracker'!$I$17</c:f>
            </c:strRef>
          </c:cat>
          <c:val>
            <c:numRef>
              <c:f>'Lalitha Tracker'!$J$17</c:f>
              <c:numCache/>
            </c:numRef>
          </c:val>
        </c:ser>
        <c:ser>
          <c:idx val="1"/>
          <c:order val="1"/>
          <c:tx>
            <c:strRef>
              <c:f>'Lalitha Tracker'!$K$16</c:f>
            </c:strRef>
          </c:tx>
          <c:spPr>
            <a:solidFill>
              <a:srgbClr val="CC3333"/>
            </a:solidFill>
            <a:ln cmpd="sng">
              <a:noFill/>
            </a:ln>
          </c:spPr>
          <c:cat>
            <c:strRef>
              <c:f>'Lalitha Tracker'!$I$17</c:f>
            </c:strRef>
          </c:cat>
          <c:val>
            <c:numRef>
              <c:f>'Lalitha Tracker'!$K$17</c:f>
              <c:numCache/>
            </c:numRef>
          </c:val>
        </c:ser>
        <c:overlap val="100"/>
        <c:axId val="1465412230"/>
        <c:axId val="837306568"/>
      </c:barChart>
      <c:catAx>
        <c:axId val="1465412230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37306568"/>
      </c:catAx>
      <c:valAx>
        <c:axId val="837306568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65412230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Videos Completed per Month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'Lalitha Tracker'!$O$13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'Lalitha Tracker'!$N$14:$N$19</c:f>
            </c:strRef>
          </c:cat>
          <c:val>
            <c:numRef>
              <c:f>'Lalitha Tracker'!$O$14:$O$19</c:f>
              <c:numCache/>
            </c:numRef>
          </c:val>
        </c:ser>
        <c:axId val="1079407597"/>
        <c:axId val="1754002345"/>
      </c:barChart>
      <c:catAx>
        <c:axId val="107940759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54002345"/>
      </c:catAx>
      <c:valAx>
        <c:axId val="175400234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79407597"/>
      </c:valAx>
    </c:plotArea>
    <c:plotVisOnly val="1"/>
  </c:chart>
</c:chartSpace>
</file>

<file path=xl/charts/chart1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Course Progress</a:t>
            </a:r>
          </a:p>
        </c:rich>
      </c:tx>
      <c:overlay val="0"/>
    </c:title>
    <c:plotArea>
      <c:layout/>
      <c:barChart>
        <c:barDir val="bar"/>
        <c:grouping val="percentStacked"/>
        <c:ser>
          <c:idx val="0"/>
          <c:order val="0"/>
          <c:tx>
            <c:strRef>
              <c:f>'Sri Rudram Tracker'!$J$16</c:f>
            </c:strRef>
          </c:tx>
          <c:spPr>
            <a:solidFill>
              <a:srgbClr val="86B85A"/>
            </a:solidFill>
            <a:ln cmpd="sng">
              <a:noFill/>
            </a:ln>
          </c:spPr>
          <c:cat>
            <c:strRef>
              <c:f>'Sri Rudram Tracker'!$I$17</c:f>
            </c:strRef>
          </c:cat>
          <c:val>
            <c:numRef>
              <c:f>'Sri Rudram Tracker'!$J$17</c:f>
              <c:numCache/>
            </c:numRef>
          </c:val>
        </c:ser>
        <c:ser>
          <c:idx val="1"/>
          <c:order val="1"/>
          <c:tx>
            <c:strRef>
              <c:f>'Sri Rudram Tracker'!$K$16</c:f>
            </c:strRef>
          </c:tx>
          <c:spPr>
            <a:solidFill>
              <a:srgbClr val="FF8978"/>
            </a:solidFill>
            <a:ln cmpd="sng">
              <a:noFill/>
            </a:ln>
          </c:spPr>
          <c:cat>
            <c:strRef>
              <c:f>'Sri Rudram Tracker'!$I$17</c:f>
            </c:strRef>
          </c:cat>
          <c:val>
            <c:numRef>
              <c:f>'Sri Rudram Tracker'!$K$17</c:f>
              <c:numCache/>
            </c:numRef>
          </c:val>
        </c:ser>
        <c:overlap val="100"/>
        <c:axId val="1419334614"/>
        <c:axId val="1286704384"/>
      </c:barChart>
      <c:catAx>
        <c:axId val="1419334614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86704384"/>
      </c:catAx>
      <c:valAx>
        <c:axId val="1286704384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19334614"/>
        <c:crosses val="max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Videos Completed per Month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'Sri Rudram Tracker'!$O$7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'Sri Rudram Tracker'!$N$8:$N$13</c:f>
            </c:strRef>
          </c:cat>
          <c:val>
            <c:numRef>
              <c:f>'Sri Rudram Tracker'!$O$8:$O$13</c:f>
              <c:numCache/>
            </c:numRef>
          </c:val>
        </c:ser>
        <c:axId val="1769724925"/>
        <c:axId val="776357082"/>
      </c:barChart>
      <c:catAx>
        <c:axId val="176972492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76357082"/>
      </c:catAx>
      <c:valAx>
        <c:axId val="77635708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69724925"/>
      </c:valAx>
    </c:plotArea>
    <c:plotVisOnly val="1"/>
  </c:chart>
</c:chartSpace>
</file>

<file path=xl/charts/chart1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Daily Scripture Time Breakdown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'Sri Rudram Tracker'!$U$5</c:f>
            </c:strRef>
          </c:tx>
          <c:spPr>
            <a:solidFill>
              <a:srgbClr val="3399CC"/>
            </a:solidFill>
            <a:ln cmpd="sng">
              <a:noFill/>
            </a:ln>
          </c:spPr>
          <c:cat>
            <c:strRef>
              <c:f>'Sri Rudram Tracker'!$T$6:$T$36</c:f>
            </c:strRef>
          </c:cat>
          <c:val>
            <c:numRef>
              <c:f>'Sri Rudram Tracker'!$U$6:$U$36</c:f>
              <c:numCache/>
            </c:numRef>
          </c:val>
        </c:ser>
        <c:axId val="1875538360"/>
        <c:axId val="1911921495"/>
      </c:barChart>
      <c:catAx>
        <c:axId val="187553836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Date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11921495"/>
      </c:catAx>
      <c:valAx>
        <c:axId val="191192149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Duration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75538360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Course Progress</a:t>
            </a:r>
          </a:p>
        </c:rich>
      </c:tx>
      <c:overlay val="0"/>
    </c:title>
    <c:plotArea>
      <c:layout/>
      <c:barChart>
        <c:barDir val="bar"/>
        <c:grouping val="percentStacked"/>
        <c:ser>
          <c:idx val="0"/>
          <c:order val="0"/>
          <c:tx>
            <c:strRef>
              <c:f>'Katha Upanishad'!$J$16</c:f>
            </c:strRef>
          </c:tx>
          <c:spPr>
            <a:solidFill>
              <a:srgbClr val="85B955"/>
            </a:solidFill>
            <a:ln cmpd="sng">
              <a:noFill/>
            </a:ln>
          </c:spPr>
          <c:cat>
            <c:strRef>
              <c:f>'Katha Upanishad'!$I$17</c:f>
            </c:strRef>
          </c:cat>
          <c:val>
            <c:numRef>
              <c:f>'Katha Upanishad'!$J$17</c:f>
              <c:numCache/>
            </c:numRef>
          </c:val>
        </c:ser>
        <c:ser>
          <c:idx val="1"/>
          <c:order val="1"/>
          <c:tx>
            <c:strRef>
              <c:f>'Katha Upanishad'!$K$16</c:f>
            </c:strRef>
          </c:tx>
          <c:spPr>
            <a:solidFill>
              <a:srgbClr val="FF8B5C"/>
            </a:solidFill>
            <a:ln cmpd="sng">
              <a:noFill/>
            </a:ln>
          </c:spPr>
          <c:cat>
            <c:strRef>
              <c:f>'Katha Upanishad'!$I$17</c:f>
            </c:strRef>
          </c:cat>
          <c:val>
            <c:numRef>
              <c:f>'Katha Upanishad'!$K$17</c:f>
              <c:numCache/>
            </c:numRef>
          </c:val>
        </c:ser>
        <c:overlap val="100"/>
        <c:axId val="827573685"/>
        <c:axId val="332595580"/>
      </c:barChart>
      <c:catAx>
        <c:axId val="827573685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32595580"/>
      </c:catAx>
      <c:valAx>
        <c:axId val="332595580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27573685"/>
        <c:crosses val="max"/>
      </c:valAx>
    </c:plotArea>
    <c:legend>
      <c:legendPos val="t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Videos Completed per Week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'Katha Upanishad'!$O$7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'Katha Upanishad'!$N$8:$N$16</c:f>
            </c:strRef>
          </c:cat>
          <c:val>
            <c:numRef>
              <c:f>'Katha Upanishad'!$O$8:$O$16</c:f>
              <c:numCache/>
            </c:numRef>
          </c:val>
        </c:ser>
        <c:axId val="375181293"/>
        <c:axId val="309866761"/>
      </c:barChart>
      <c:catAx>
        <c:axId val="37518129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09866761"/>
      </c:catAx>
      <c:valAx>
        <c:axId val="30986676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75181293"/>
      </c:valAx>
    </c:plotArea>
    <c:plotVisOnly val="1"/>
  </c:chart>
</c:chartSpace>
</file>

<file path=xl/charts/chart2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Roboto"/>
              </a:defRPr>
            </a:pPr>
            <a:r>
              <a:rPr b="0">
                <a:solidFill>
                  <a:srgbClr val="757575"/>
                </a:solidFill>
                <a:latin typeface="Roboto"/>
              </a:rPr>
              <a:t>Course Progress</a:t>
            </a:r>
          </a:p>
        </c:rich>
      </c:tx>
      <c:overlay val="0"/>
    </c:title>
    <c:plotArea>
      <c:layout/>
      <c:barChart>
        <c:barDir val="bar"/>
        <c:grouping val="percentStacked"/>
        <c:ser>
          <c:idx val="0"/>
          <c:order val="0"/>
          <c:tx>
            <c:strRef>
              <c:f>'Devi Bhaagavatham Tracker'!$L$16</c:f>
            </c:strRef>
          </c:tx>
          <c:spPr>
            <a:solidFill>
              <a:srgbClr val="4BAE50"/>
            </a:solidFill>
            <a:ln cmpd="sng">
              <a:noFill/>
            </a:ln>
          </c:spPr>
          <c:cat>
            <c:strRef>
              <c:f>'Devi Bhaagavatham Tracker'!$K$17</c:f>
            </c:strRef>
          </c:cat>
          <c:val>
            <c:numRef>
              <c:f>'Devi Bhaagavatham Tracker'!$L$17</c:f>
              <c:numCache/>
            </c:numRef>
          </c:val>
        </c:ser>
        <c:ser>
          <c:idx val="1"/>
          <c:order val="1"/>
          <c:tx>
            <c:strRef>
              <c:f>'Devi Bhaagavatham Tracker'!$M$16</c:f>
            </c:strRef>
          </c:tx>
          <c:spPr>
            <a:solidFill>
              <a:srgbClr val="D22E2E"/>
            </a:solidFill>
            <a:ln cmpd="sng">
              <a:noFill/>
            </a:ln>
          </c:spPr>
          <c:cat>
            <c:strRef>
              <c:f>'Devi Bhaagavatham Tracker'!$K$17</c:f>
            </c:strRef>
          </c:cat>
          <c:val>
            <c:numRef>
              <c:f>'Devi Bhaagavatham Tracker'!$M$17</c:f>
              <c:numCache/>
            </c:numRef>
          </c:val>
        </c:ser>
        <c:overlap val="100"/>
        <c:axId val="1536052792"/>
        <c:axId val="1131118389"/>
      </c:barChart>
      <c:catAx>
        <c:axId val="1536052792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131118389"/>
      </c:catAx>
      <c:valAx>
        <c:axId val="1131118389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536052792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Roboto"/>
            </a:defRPr>
          </a:pPr>
        </a:p>
      </c:txPr>
    </c:legend>
    <c:plotVisOnly val="1"/>
  </c:chart>
</c:chartSpace>
</file>

<file path=xl/charts/chart2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Roboto"/>
              </a:defRPr>
            </a:pPr>
            <a:r>
              <a:rPr b="0">
                <a:solidFill>
                  <a:srgbClr val="757575"/>
                </a:solidFill>
                <a:latin typeface="Roboto"/>
              </a:rPr>
              <a:t>Videos Completed per Month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'Devi Bhaagavatham Tracker'!$O$7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'Devi Bhaagavatham Tracker'!$N$8:$N$13</c:f>
            </c:strRef>
          </c:cat>
          <c:val>
            <c:numRef>
              <c:f>'Devi Bhaagavatham Tracker'!$O$8:$O$13</c:f>
              <c:numCache/>
            </c:numRef>
          </c:val>
        </c:ser>
        <c:axId val="2011466282"/>
        <c:axId val="1722805531"/>
      </c:barChart>
      <c:catAx>
        <c:axId val="201146628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722805531"/>
      </c:catAx>
      <c:valAx>
        <c:axId val="172280553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2011466282"/>
      </c:valAx>
    </c:plotArea>
    <c:plotVisOnly val="1"/>
  </c:chart>
</c:chartSpace>
</file>

<file path=xl/charts/chart2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Roboto"/>
              </a:defRPr>
            </a:pPr>
            <a:r>
              <a:rPr b="0">
                <a:solidFill>
                  <a:srgbClr val="757575"/>
                </a:solidFill>
                <a:latin typeface="Roboto"/>
              </a:rPr>
              <a:t>Course Progress</a:t>
            </a:r>
          </a:p>
        </c:rich>
      </c:tx>
      <c:overlay val="0"/>
    </c:title>
    <c:plotArea>
      <c:layout/>
      <c:barChart>
        <c:barDir val="bar"/>
        <c:grouping val="percentStacked"/>
        <c:ser>
          <c:idx val="0"/>
          <c:order val="0"/>
          <c:tx>
            <c:strRef>
              <c:f>'Garuda Mahapuranam'!$L$16</c:f>
            </c:strRef>
          </c:tx>
          <c:spPr>
            <a:solidFill>
              <a:srgbClr val="4BAE50"/>
            </a:solidFill>
            <a:ln cmpd="sng">
              <a:noFill/>
            </a:ln>
          </c:spPr>
          <c:cat>
            <c:strRef>
              <c:f>'Garuda Mahapuranam'!$K$17</c:f>
            </c:strRef>
          </c:cat>
          <c:val>
            <c:numRef>
              <c:f>'Garuda Mahapuranam'!$L$17</c:f>
              <c:numCache/>
            </c:numRef>
          </c:val>
        </c:ser>
        <c:ser>
          <c:idx val="1"/>
          <c:order val="1"/>
          <c:tx>
            <c:strRef>
              <c:f>'Garuda Mahapuranam'!$M$16</c:f>
            </c:strRef>
          </c:tx>
          <c:spPr>
            <a:solidFill>
              <a:srgbClr val="D22E2E"/>
            </a:solidFill>
            <a:ln cmpd="sng">
              <a:noFill/>
            </a:ln>
          </c:spPr>
          <c:cat>
            <c:strRef>
              <c:f>'Garuda Mahapuranam'!$K$17</c:f>
            </c:strRef>
          </c:cat>
          <c:val>
            <c:numRef>
              <c:f>'Garuda Mahapuranam'!$M$17</c:f>
              <c:numCache/>
            </c:numRef>
          </c:val>
        </c:ser>
        <c:overlap val="100"/>
        <c:axId val="1240956844"/>
        <c:axId val="1666396933"/>
      </c:barChart>
      <c:catAx>
        <c:axId val="1240956844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666396933"/>
      </c:catAx>
      <c:valAx>
        <c:axId val="1666396933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240956844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Roboto"/>
            </a:defRPr>
          </a:pPr>
        </a:p>
      </c:txPr>
    </c:legend>
    <c:plotVisOnly val="1"/>
  </c:chart>
</c:chartSpace>
</file>

<file path=xl/charts/chart2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Roboto"/>
              </a:defRPr>
            </a:pPr>
            <a:r>
              <a:rPr b="0">
                <a:solidFill>
                  <a:srgbClr val="757575"/>
                </a:solidFill>
                <a:latin typeface="Roboto"/>
              </a:rPr>
              <a:t>Videos Completed per Month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'Garuda Mahapuranam'!$O$7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'Garuda Mahapuranam'!$N$8:$N$13</c:f>
            </c:strRef>
          </c:cat>
          <c:val>
            <c:numRef>
              <c:f>'Garuda Mahapuranam'!$O$8:$O$13</c:f>
              <c:numCache/>
            </c:numRef>
          </c:val>
        </c:ser>
        <c:axId val="1303253568"/>
        <c:axId val="373034471"/>
      </c:barChart>
      <c:catAx>
        <c:axId val="130325356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373034471"/>
      </c:catAx>
      <c:valAx>
        <c:axId val="37303447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303253568"/>
      </c:valAx>
    </c:plotArea>
    <c:plotVisOnly val="1"/>
  </c:chart>
</c:chartSpace>
</file>

<file path=xl/charts/chart2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Hours per Day Spent on Sri Rudram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'Daily Hours'!$B$1</c:f>
            </c:strRef>
          </c:tx>
          <c:spPr>
            <a:solidFill>
              <a:srgbClr val="425E91"/>
            </a:solidFill>
            <a:ln cmpd="sng">
              <a:noFill/>
            </a:ln>
          </c:spPr>
          <c:cat>
            <c:strRef>
              <c:f>'Daily Hours'!$A$2:$A$30</c:f>
            </c:strRef>
          </c:cat>
          <c:val>
            <c:numRef>
              <c:f>'Daily Hours'!$B$2:$B$30</c:f>
              <c:numCache/>
            </c:numRef>
          </c:val>
        </c:ser>
        <c:axId val="1270039461"/>
        <c:axId val="1748109885"/>
      </c:barChart>
      <c:catAx>
        <c:axId val="127003946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Date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48109885"/>
      </c:catAx>
      <c:valAx>
        <c:axId val="174810988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Hours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70039461"/>
      </c:valAx>
    </c:plotArea>
    <c:plotVisOnly val="1"/>
  </c:chart>
</c:chartSpace>
</file>

<file path=xl/charts/chart2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Total Time Spent per Month (Hours)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'Overall Duration Analysis'!$B$1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'Overall Duration Analysis'!$A$2:$A$15</c:f>
            </c:strRef>
          </c:cat>
          <c:val>
            <c:numRef>
              <c:f>'Overall Duration Analysis'!$B$2:$B$15</c:f>
              <c:numCache/>
            </c:numRef>
          </c:val>
        </c:ser>
        <c:axId val="576192987"/>
        <c:axId val="2077003361"/>
      </c:barChart>
      <c:catAx>
        <c:axId val="57619298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Month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77003361"/>
      </c:catAx>
      <c:valAx>
        <c:axId val="207700336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76192987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Total Time Spent per Day Throughout the Year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'Daily Hours'!$B$1</c:f>
            </c:strRef>
          </c:tx>
          <c:spPr>
            <a:ln cmpd="sng">
              <a:solidFill>
                <a:srgbClr val="CC3333"/>
              </a:solidFill>
            </a:ln>
          </c:spPr>
          <c:marker>
            <c:symbol val="none"/>
          </c:marker>
          <c:cat>
            <c:strRef>
              <c:f>'Daily Hours'!$A$2:$A$100</c:f>
            </c:strRef>
          </c:cat>
          <c:val>
            <c:numRef>
              <c:f>'Daily Hours'!$B$2:$B$100</c:f>
              <c:numCache/>
            </c:numRef>
          </c:val>
          <c:smooth val="0"/>
        </c:ser>
        <c:axId val="1221838121"/>
        <c:axId val="1392318867"/>
      </c:lineChart>
      <c:catAx>
        <c:axId val="122183812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Date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92318867"/>
      </c:catAx>
      <c:valAx>
        <c:axId val="139231886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Hours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21838121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Relationship Id="rId2" Type="http://schemas.openxmlformats.org/officeDocument/2006/relationships/chart" Target="../charts/chart4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5.xml"/><Relationship Id="rId2" Type="http://schemas.openxmlformats.org/officeDocument/2006/relationships/chart" Target="../charts/chart6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7.xml"/><Relationship Id="rId2" Type="http://schemas.openxmlformats.org/officeDocument/2006/relationships/chart" Target="../charts/chart8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Chart9.png"/><Relationship Id="rId2" Type="http://schemas.openxmlformats.org/officeDocument/2006/relationships/image" Target="../media/Chart15.png"/><Relationship Id="rId3" Type="http://schemas.openxmlformats.org/officeDocument/2006/relationships/image" Target="../media/Chart18.png"/><Relationship Id="rId4" Type="http://schemas.openxmlformats.org/officeDocument/2006/relationships/image" Target="../media/Chart19.png"/><Relationship Id="rId5" Type="http://schemas.openxmlformats.org/officeDocument/2006/relationships/chart" Target="../charts/chart9.xml"/><Relationship Id="rId6" Type="http://schemas.openxmlformats.org/officeDocument/2006/relationships/chart" Target="../charts/chart10.xml"/><Relationship Id="rId7" Type="http://schemas.openxmlformats.org/officeDocument/2006/relationships/chart" Target="../charts/chart11.xml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chart" Target="../charts/chart12.xml"/><Relationship Id="rId2" Type="http://schemas.openxmlformats.org/officeDocument/2006/relationships/chart" Target="../charts/chart13.xml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chart" Target="../charts/chart14.xml"/><Relationship Id="rId2" Type="http://schemas.openxmlformats.org/officeDocument/2006/relationships/chart" Target="../charts/chart15.xml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chart" Target="../charts/chart16.xml"/><Relationship Id="rId2" Type="http://schemas.openxmlformats.org/officeDocument/2006/relationships/chart" Target="../charts/chart17.xml"/><Relationship Id="rId3" Type="http://schemas.openxmlformats.org/officeDocument/2006/relationships/chart" Target="../charts/chart18.xml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chart" Target="../charts/chart19.xml"/><Relationship Id="rId2" Type="http://schemas.openxmlformats.org/officeDocument/2006/relationships/chart" Target="../charts/chart20.xml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chart" Target="../charts/chart21.xml"/><Relationship Id="rId2" Type="http://schemas.openxmlformats.org/officeDocument/2006/relationships/chart" Target="../charts/chart22.xml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chart" Target="../charts/chart23.xml"/><Relationship Id="rId2" Type="http://schemas.openxmlformats.org/officeDocument/2006/relationships/chart" Target="../charts/chart24.xml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5.xml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chart" Target="../charts/chart26.xml"/><Relationship Id="rId2" Type="http://schemas.openxmlformats.org/officeDocument/2006/relationships/chart" Target="../charts/chart27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190500</xdr:colOff>
      <xdr:row>0</xdr:row>
      <xdr:rowOff>0</xdr:rowOff>
    </xdr:from>
    <xdr:ext cx="2095500" cy="1219200"/>
    <xdr:graphicFrame>
      <xdr:nvGraphicFramePr>
        <xdr:cNvPr id="2" name="Chart 2" title="Course Progres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5</xdr:col>
      <xdr:colOff>2743200</xdr:colOff>
      <xdr:row>0</xdr:row>
      <xdr:rowOff>0</xdr:rowOff>
    </xdr:from>
    <xdr:ext cx="1724025" cy="1047750"/>
    <xdr:graphicFrame>
      <xdr:nvGraphicFramePr>
        <xdr:cNvPr id="4" name="Chart 4" title="Videos Completed per Month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0</xdr:colOff>
      <xdr:row>27</xdr:row>
      <xdr:rowOff>190500</xdr:rowOff>
    </xdr:from>
    <xdr:ext cx="3000375" cy="1752600"/>
    <xdr:graphicFrame>
      <xdr:nvGraphicFramePr>
        <xdr:cNvPr id="1" name="Chart 1" title="Course Progres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228600</xdr:colOff>
      <xdr:row>17</xdr:row>
      <xdr:rowOff>171450</xdr:rowOff>
    </xdr:from>
    <xdr:ext cx="3000375" cy="1828800"/>
    <xdr:graphicFrame>
      <xdr:nvGraphicFramePr>
        <xdr:cNvPr id="5" name="Chart 5" title="Videos Completed per Month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495300</xdr:colOff>
      <xdr:row>13</xdr:row>
      <xdr:rowOff>47625</xdr:rowOff>
    </xdr:from>
    <xdr:ext cx="2181225" cy="1276350"/>
    <xdr:graphicFrame>
      <xdr:nvGraphicFramePr>
        <xdr:cNvPr id="3" name="Chart 3" title="Course Progres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5</xdr:col>
      <xdr:colOff>2771775</xdr:colOff>
      <xdr:row>0</xdr:row>
      <xdr:rowOff>38100</xdr:rowOff>
    </xdr:from>
    <xdr:ext cx="2952750" cy="942975"/>
    <xdr:graphicFrame>
      <xdr:nvGraphicFramePr>
        <xdr:cNvPr id="6" name="Chart 6" title="Videos Completed per Month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438150</xdr:colOff>
      <xdr:row>17</xdr:row>
      <xdr:rowOff>57150</xdr:rowOff>
    </xdr:from>
    <xdr:ext cx="2600325" cy="1295400"/>
    <xdr:graphicFrame>
      <xdr:nvGraphicFramePr>
        <xdr:cNvPr id="7" name="Chart 7" title="Course Progres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7</xdr:col>
      <xdr:colOff>466725</xdr:colOff>
      <xdr:row>17</xdr:row>
      <xdr:rowOff>47625</xdr:rowOff>
    </xdr:from>
    <xdr:ext cx="2543175" cy="1695450"/>
    <xdr:graphicFrame>
      <xdr:nvGraphicFramePr>
        <xdr:cNvPr id="8" name="Chart 8" title="Videos Completed per Month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3</xdr:row>
      <xdr:rowOff>0</xdr:rowOff>
    </xdr:from>
    <xdr:ext cx="1485900" cy="590550"/>
    <xdr:pic>
      <xdr:nvPicPr>
        <xdr:cNvPr id="19333436" name="Chart9" title="Total Completed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895350</xdr:colOff>
      <xdr:row>2</xdr:row>
      <xdr:rowOff>161925</xdr:rowOff>
    </xdr:from>
    <xdr:ext cx="1657350" cy="666750"/>
    <xdr:pic>
      <xdr:nvPicPr>
        <xdr:cNvPr id="2065406800" name="Chart15" title="Total Pending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323850</xdr:colOff>
      <xdr:row>0</xdr:row>
      <xdr:rowOff>180975</xdr:rowOff>
    </xdr:from>
    <xdr:ext cx="1485900" cy="752475"/>
    <xdr:pic>
      <xdr:nvPicPr>
        <xdr:cNvPr id="1044006804" name="Chart18" title="Total Videos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171450</xdr:colOff>
      <xdr:row>0</xdr:row>
      <xdr:rowOff>180975</xdr:rowOff>
    </xdr:from>
    <xdr:ext cx="2571750" cy="752475"/>
    <xdr:pic>
      <xdr:nvPicPr>
        <xdr:cNvPr id="751272748" name="Chart19" title="Overall Completion Rate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228600</xdr:colOff>
      <xdr:row>8</xdr:row>
      <xdr:rowOff>104775</xdr:rowOff>
    </xdr:from>
    <xdr:ext cx="4810125" cy="1847850"/>
    <xdr:graphicFrame>
      <xdr:nvGraphicFramePr>
        <xdr:cNvPr id="22" name="Chart 22" title="Completed and pending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1</xdr:col>
      <xdr:colOff>685800</xdr:colOff>
      <xdr:row>19</xdr:row>
      <xdr:rowOff>28575</xdr:rowOff>
    </xdr:from>
    <xdr:ext cx="3314700" cy="1800225"/>
    <xdr:graphicFrame>
      <xdr:nvGraphicFramePr>
        <xdr:cNvPr id="23" name="Chart 23" title="Monthly Completion Trend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  <xdr:oneCellAnchor>
    <xdr:from>
      <xdr:col>11</xdr:col>
      <xdr:colOff>561975</xdr:colOff>
      <xdr:row>1</xdr:row>
      <xdr:rowOff>95250</xdr:rowOff>
    </xdr:from>
    <xdr:ext cx="2695575" cy="2085975"/>
    <xdr:graphicFrame>
      <xdr:nvGraphicFramePr>
        <xdr:cNvPr id="25" name="Chart 25" title="Overall Progress Breakdown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7"/>
        </a:graphicData>
      </a:graphic>
    </xdr:graphicFrame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0</xdr:colOff>
      <xdr:row>20</xdr:row>
      <xdr:rowOff>0</xdr:rowOff>
    </xdr:from>
    <xdr:ext cx="5715000" cy="3333750"/>
    <xdr:graphicFrame>
      <xdr:nvGraphicFramePr>
        <xdr:cNvPr id="10" name="Chart 10" title="Course Progres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8</xdr:col>
      <xdr:colOff>0</xdr:colOff>
      <xdr:row>38</xdr:row>
      <xdr:rowOff>0</xdr:rowOff>
    </xdr:from>
    <xdr:ext cx="5715000" cy="3533775"/>
    <xdr:graphicFrame>
      <xdr:nvGraphicFramePr>
        <xdr:cNvPr id="11" name="Chart 11" title="Videos Completed per Month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590550</xdr:colOff>
      <xdr:row>20</xdr:row>
      <xdr:rowOff>9525</xdr:rowOff>
    </xdr:from>
    <xdr:ext cx="4371975" cy="2181225"/>
    <xdr:graphicFrame>
      <xdr:nvGraphicFramePr>
        <xdr:cNvPr id="12" name="Chart 12" title="Course Progres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8</xdr:col>
      <xdr:colOff>0</xdr:colOff>
      <xdr:row>33</xdr:row>
      <xdr:rowOff>0</xdr:rowOff>
    </xdr:from>
    <xdr:ext cx="4762500" cy="2857500"/>
    <xdr:graphicFrame>
      <xdr:nvGraphicFramePr>
        <xdr:cNvPr id="13" name="Chart 13" title="Videos Completed per Month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438150</xdr:colOff>
      <xdr:row>19</xdr:row>
      <xdr:rowOff>57150</xdr:rowOff>
    </xdr:from>
    <xdr:ext cx="2600325" cy="1295400"/>
    <xdr:graphicFrame>
      <xdr:nvGraphicFramePr>
        <xdr:cNvPr id="14" name="Chart 14" title="Course Progres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7</xdr:col>
      <xdr:colOff>466725</xdr:colOff>
      <xdr:row>31</xdr:row>
      <xdr:rowOff>47625</xdr:rowOff>
    </xdr:from>
    <xdr:ext cx="2543175" cy="1695450"/>
    <xdr:graphicFrame>
      <xdr:nvGraphicFramePr>
        <xdr:cNvPr id="16" name="Chart 16" title="Videos Completed per Month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21</xdr:col>
      <xdr:colOff>714375</xdr:colOff>
      <xdr:row>4</xdr:row>
      <xdr:rowOff>0</xdr:rowOff>
    </xdr:from>
    <xdr:ext cx="4048125" cy="2505075"/>
    <xdr:graphicFrame>
      <xdr:nvGraphicFramePr>
        <xdr:cNvPr id="17" name="Chart 17" title="Daily Scripture Time Breakdown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0</xdr:colOff>
      <xdr:row>20</xdr:row>
      <xdr:rowOff>0</xdr:rowOff>
    </xdr:from>
    <xdr:ext cx="3390900" cy="1981200"/>
    <xdr:graphicFrame>
      <xdr:nvGraphicFramePr>
        <xdr:cNvPr id="20" name="Chart 20" title="Course Progres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8</xdr:col>
      <xdr:colOff>0</xdr:colOff>
      <xdr:row>35</xdr:row>
      <xdr:rowOff>0</xdr:rowOff>
    </xdr:from>
    <xdr:ext cx="5715000" cy="3333750"/>
    <xdr:graphicFrame>
      <xdr:nvGraphicFramePr>
        <xdr:cNvPr id="21" name="Chart 21" title="Videos Completed per Week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0</xdr:colOff>
      <xdr:row>27</xdr:row>
      <xdr:rowOff>190500</xdr:rowOff>
    </xdr:from>
    <xdr:ext cx="3000375" cy="1752600"/>
    <xdr:graphicFrame>
      <xdr:nvGraphicFramePr>
        <xdr:cNvPr id="24" name="Chart 24" title="Course Progres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171450</xdr:colOff>
      <xdr:row>11</xdr:row>
      <xdr:rowOff>161925</xdr:rowOff>
    </xdr:from>
    <xdr:ext cx="3000375" cy="1828800"/>
    <xdr:graphicFrame>
      <xdr:nvGraphicFramePr>
        <xdr:cNvPr id="26" name="Chart 26" title="Videos Completed per Month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190500</xdr:colOff>
      <xdr:row>0</xdr:row>
      <xdr:rowOff>0</xdr:rowOff>
    </xdr:from>
    <xdr:ext cx="2095500" cy="1219200"/>
    <xdr:graphicFrame>
      <xdr:nvGraphicFramePr>
        <xdr:cNvPr id="27" name="Chart 27" title="Course Progres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5</xdr:col>
      <xdr:colOff>2743200</xdr:colOff>
      <xdr:row>0</xdr:row>
      <xdr:rowOff>0</xdr:rowOff>
    </xdr:from>
    <xdr:ext cx="1724025" cy="1047750"/>
    <xdr:graphicFrame>
      <xdr:nvGraphicFramePr>
        <xdr:cNvPr id="28" name="Chart 28" title="Videos Completed per Month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0</xdr:colOff>
      <xdr:row>1</xdr:row>
      <xdr:rowOff>0</xdr:rowOff>
    </xdr:from>
    <xdr:ext cx="5715000" cy="3533775"/>
    <xdr:graphicFrame>
      <xdr:nvGraphicFramePr>
        <xdr:cNvPr id="29" name="Chart 29" title="Hours per Day Spent on Sri Rudra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0</xdr:colOff>
      <xdr:row>1</xdr:row>
      <xdr:rowOff>0</xdr:rowOff>
    </xdr:from>
    <xdr:ext cx="5715000" cy="3533775"/>
    <xdr:graphicFrame>
      <xdr:nvGraphicFramePr>
        <xdr:cNvPr id="30" name="Chart 30" title="Total Time Spent per Month (Hours)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3</xdr:col>
      <xdr:colOff>0</xdr:colOff>
      <xdr:row>16</xdr:row>
      <xdr:rowOff>0</xdr:rowOff>
    </xdr:from>
    <xdr:ext cx="5715000" cy="3533775"/>
    <xdr:graphicFrame>
      <xdr:nvGraphicFramePr>
        <xdr:cNvPr id="31" name="Chart 31" title="Total Time Spent per Day Throughout the Year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B7:F17" displayName="Table_3" name="Table_3" id="4">
  <tableColumns count="5">
    <tableColumn name="S.No." id="1"/>
    <tableColumn name="Status" id="2"/>
    <tableColumn name="Date Completed" id="3"/>
    <tableColumn name="Notes" id="4"/>
    <tableColumn name="Video Link" id="5"/>
  </tableColumns>
  <tableStyleInfo name="ADITHYA HRIDAYAM-style" showColumnStripes="0" showFirstColumn="1" showLastColumn="1" showRowStripes="1"/>
</table>
</file>

<file path=xl/tables/table2.xml><?xml version="1.0" encoding="utf-8"?>
<table xmlns="http://schemas.openxmlformats.org/spreadsheetml/2006/main" ref="B7:F50" displayName="Table_4" name="Table_4" id="3">
  <tableColumns count="5">
    <tableColumn name="S.No." id="1"/>
    <tableColumn name="Status" id="2"/>
    <tableColumn name="Date Completed" id="3"/>
    <tableColumn name="Notes" id="4"/>
    <tableColumn name="Video Link" id="5"/>
  </tableColumns>
  <tableStyleInfo name="Bhagavadgita Tracker-style" showColumnStripes="0" showFirstColumn="1" showLastColumn="1" showRowStripes="1"/>
</table>
</file>

<file path=xl/tables/table3.xml><?xml version="1.0" encoding="utf-8"?>
<table xmlns="http://schemas.openxmlformats.org/spreadsheetml/2006/main" ref="B7:F23" displayName="Table_5" name="Table_5" id="5">
  <tableColumns count="5">
    <tableColumn name="S.No." id="1"/>
    <tableColumn name="Status" id="2"/>
    <tableColumn name="Date Completed" id="3"/>
    <tableColumn name="Notes" id="4"/>
    <tableColumn name="Video Link" id="5"/>
  </tableColumns>
  <tableStyleInfo name="Sootha Samhitha-style" showColumnStripes="0" showFirstColumn="1" showLastColumn="1" showRowStripes="1"/>
</table>
</file>

<file path=xl/tables/table4.xml><?xml version="1.0" encoding="utf-8"?>
<table xmlns="http://schemas.openxmlformats.org/spreadsheetml/2006/main" headerRowCount="0" ref="B6:H9" displayName="Table_1" name="Table_1" id="1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Scriptures Tracker-style" showColumnStripes="0" showFirstColumn="1" showLastColumn="1" showRowStripes="1"/>
</table>
</file>

<file path=xl/tables/table5.xml><?xml version="1.0" encoding="utf-8"?>
<table xmlns="http://schemas.openxmlformats.org/spreadsheetml/2006/main" headerRowCount="0" ref="I6:L9" displayName="Table_2" name="Table_2" id="2">
  <tableColumns count="4">
    <tableColumn name="Column1" id="1"/>
    <tableColumn name="Column2" id="2"/>
    <tableColumn name="Column3" id="3"/>
    <tableColumn name="Column4" id="4"/>
  </tableColumns>
  <tableStyleInfo name="Scriptures Tracker-style 2" showColumnStripes="0" showFirstColumn="1" showLastColumn="1" showRowStripes="1"/>
</table>
</file>

<file path=xl/tables/table6.xml><?xml version="1.0" encoding="utf-8"?>
<table xmlns="http://schemas.openxmlformats.org/spreadsheetml/2006/main" headerRowCount="0" ref="B5:G17" displayName="Table_6" name="Table_6" id="6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Sandhyavandhanam Tracker-style" showColumnStripes="0" showFirstColumn="1" showLastColumn="1" showRowStripes="1"/>
</table>
</file>

<file path=xl/tables/table7.xml><?xml version="1.0" encoding="utf-8"?>
<table xmlns="http://schemas.openxmlformats.org/spreadsheetml/2006/main" headerRowCount="0" ref="N7:O13" displayName="Table_7" name="Table_7" id="7">
  <tableColumns count="2">
    <tableColumn name="Column1" id="1"/>
    <tableColumn name="Column2" id="2"/>
  </tableColumns>
  <tableStyleInfo name="Sandhyavandhanam Tracker-style 2" showColumnStripes="0" showFirstColumn="1" showLastColumn="1" showRowStripes="1"/>
</table>
</file>

<file path=xl/tables/table8.xml><?xml version="1.0" encoding="utf-8"?>
<table xmlns="http://schemas.openxmlformats.org/spreadsheetml/2006/main" headerRowCount="0" ref="I16:K17" displayName="Table_8" name="Table_8" id="8">
  <tableColumns count="3">
    <tableColumn name="Column1" id="1"/>
    <tableColumn name="Column2" id="2"/>
    <tableColumn name="Column3" id="3"/>
  </tableColumns>
  <tableStyleInfo name="Sandhyavandhanam Tracker-style 3" showColumnStripes="0" showFirstColumn="1" showLastColumn="1" showRowStripes="1"/>
</table>
</file>

<file path=xl/tables/table9.xml><?xml version="1.0" encoding="utf-8"?>
<table xmlns="http://schemas.openxmlformats.org/spreadsheetml/2006/main" ref="B7:F102" displayName="Table_9" name="Table_9" id="9">
  <tableColumns count="5">
    <tableColumn name="S.No." id="1"/>
    <tableColumn name="Status" id="2"/>
    <tableColumn name="Date Completed" id="3"/>
    <tableColumn name="Notes" id="4"/>
    <tableColumn name="Video Link" id="5"/>
  </tableColumns>
  <tableStyleInfo name="Sanskrit Tracker-style" showColumnStripes="0" showFirstColumn="1" showLastColumn="1" showRowStripes="1"/>
</table>
</file>

<file path=xl/tables/table10.xml><?xml version="1.0" encoding="utf-8"?>
<table xmlns="http://schemas.openxmlformats.org/spreadsheetml/2006/main" headerRowCount="0" ref="B6:F49" displayName="Table_10" name="Table_10" id="10">
  <tableColumns count="5">
    <tableColumn name="Column1" id="1"/>
    <tableColumn name="Column2" id="2"/>
    <tableColumn name="Column3" id="3"/>
    <tableColumn name="Column4" id="4"/>
    <tableColumn name="Column5" id="5"/>
  </tableColumns>
  <tableStyleInfo name="Lalitha Tracker-style" showColumnStripes="0" showFirstColumn="1" showLastColumn="1" showRowStripes="1"/>
</table>
</file>

<file path=xl/tables/table11.xml><?xml version="1.0" encoding="utf-8"?>
<table xmlns="http://schemas.openxmlformats.org/spreadsheetml/2006/main" ref="N13:O19" displayName="Number_of_Days_per_Month_with_Completed_Videos" name="Number_of_Days_per_Month_with_Completed_Videos" id="11">
  <tableColumns count="2">
    <tableColumn name="Month_Date" id="1"/>
    <tableColumn name="Videos Completed" id="2"/>
  </tableColumns>
  <tableStyleInfo name="Lalitha Tracker-style 2" showColumnStripes="0" showFirstColumn="1" showLastColumn="1" showRowStripes="1"/>
</table>
</file>

<file path=xl/tables/table12.xml><?xml version="1.0" encoding="utf-8"?>
<table xmlns="http://schemas.openxmlformats.org/spreadsheetml/2006/main" headerRowCount="0" ref="B5:G36" displayName="Table_11" name="Table_11" id="12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Sri Rudram Tracker-style" showColumnStripes="0" showFirstColumn="1" showLastColumn="1" showRowStripes="1"/>
</table>
</file>

<file path=xl/tables/table13.xml><?xml version="1.0" encoding="utf-8"?>
<table xmlns="http://schemas.openxmlformats.org/spreadsheetml/2006/main" headerRowCount="0" ref="N7:O13" displayName="Table_12" name="Table_12" id="13">
  <tableColumns count="2">
    <tableColumn name="Column1" id="1"/>
    <tableColumn name="Column2" id="2"/>
  </tableColumns>
  <tableStyleInfo name="Sri Rudram Tracker-style 2" showColumnStripes="0" showFirstColumn="1" showLastColumn="1" showRowStripes="1"/>
</table>
</file>

<file path=xl/tables/table14.xml><?xml version="1.0" encoding="utf-8"?>
<table xmlns="http://schemas.openxmlformats.org/spreadsheetml/2006/main" headerRowCount="0" ref="I16:K17" displayName="Table_13" name="Table_13" id="14">
  <tableColumns count="3">
    <tableColumn name="Column1" id="1"/>
    <tableColumn name="Column2" id="2"/>
    <tableColumn name="Column3" id="3"/>
  </tableColumns>
  <tableStyleInfo name="Sri Rudram Tracker-style 3" showColumnStripes="0" showFirstColumn="1" showLastColumn="1" showRowStripes="1"/>
</table>
</file>

<file path=xl/tables/table15.xml><?xml version="1.0" encoding="utf-8"?>
<table xmlns="http://schemas.openxmlformats.org/spreadsheetml/2006/main" headerRowCount="0" ref="B6:G49" displayName="Table_14" name="Table_14" id="15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Katha Upanishad-style" showColumnStripes="0" showFirstColumn="1" showLastColumn="1" showRowStripes="1"/>
</table>
</file>

<file path=xl/tables/table16.xml><?xml version="1.0" encoding="utf-8"?>
<table xmlns="http://schemas.openxmlformats.org/spreadsheetml/2006/main" headerRowCount="0" ref="I6:J12" displayName="Table_15" name="Table_15" id="16">
  <tableColumns count="2">
    <tableColumn name="Column1" id="1"/>
    <tableColumn name="Column2" id="2"/>
  </tableColumns>
  <tableStyleInfo name="Katha Upanishad-style 2" showColumnStripes="0" showFirstColumn="1" showLastColumn="1" showRowStripes="1"/>
</table>
</file>

<file path=xl/tables/table17.xml><?xml version="1.0" encoding="utf-8"?>
<table xmlns="http://schemas.openxmlformats.org/spreadsheetml/2006/main" headerRowCount="0" ref="N8:O13" displayName="Table_16" name="Table_16" id="17">
  <tableColumns count="2">
    <tableColumn name="Column1" id="1"/>
    <tableColumn name="Column2" id="2"/>
  </tableColumns>
  <tableStyleInfo name="Katha Upanishad-style 3" showColumnStripes="0" showFirstColumn="1" showLastColumn="1" showRowStripes="1"/>
</table>
</file>

<file path=xl/tables/table18.xml><?xml version="1.0" encoding="utf-8"?>
<table xmlns="http://schemas.openxmlformats.org/spreadsheetml/2006/main" headerRowCount="0" ref="I17:K17" displayName="Table_17" name="Table_17" id="18">
  <tableColumns count="3">
    <tableColumn name="Column1" id="1"/>
    <tableColumn name="Column2" id="2"/>
    <tableColumn name="Column3" id="3"/>
  </tableColumns>
  <tableStyleInfo name="Katha Upanishad-style 4" showColumnStripes="0" showFirstColumn="1" showLastColumn="1" showRowStripes="1"/>
</table>
</file>

<file path=xl/tables/table19.xml><?xml version="1.0" encoding="utf-8"?>
<table xmlns="http://schemas.openxmlformats.org/spreadsheetml/2006/main" ref="B7:F33" displayName="Table_18" name="Table_18" id="19">
  <tableColumns count="5">
    <tableColumn name="S.No." id="1"/>
    <tableColumn name="Status" id="2"/>
    <tableColumn name="Date Completed" id="3"/>
    <tableColumn name="Notes" id="4"/>
    <tableColumn name="Video Link" id="5"/>
  </tableColumns>
  <tableStyleInfo name="Devi Bhaagavatham Tracker-style" showColumnStripes="0" showFirstColumn="1" showLastColumn="1" showRowStripes="1"/>
</table>
</file>

<file path=xl/tables/table20.xml><?xml version="1.0" encoding="utf-8"?>
<table xmlns="http://schemas.openxmlformats.org/spreadsheetml/2006/main" ref="B7:F22" displayName="Table_19" name="Table_19" id="20">
  <tableColumns count="5">
    <tableColumn name="S.No." id="1"/>
    <tableColumn name="Status" id="2"/>
    <tableColumn name="Date Completed" id="3"/>
    <tableColumn name="Notes" id="4"/>
    <tableColumn name="Video Link" id="5"/>
  </tableColumns>
  <tableStyleInfo name="Garuda Mahapuranam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youtube.com/watch?v=r-NZGQ-TX3s" TargetMode="External"/><Relationship Id="rId2" Type="http://schemas.openxmlformats.org/officeDocument/2006/relationships/hyperlink" Target="https://www.youtube.com/watch?v=9zHG-rsfpog" TargetMode="External"/><Relationship Id="rId3" Type="http://schemas.openxmlformats.org/officeDocument/2006/relationships/hyperlink" Target="https://www.youtube.com/watch?v=hgkV5T51mlM" TargetMode="External"/><Relationship Id="rId4" Type="http://schemas.openxmlformats.org/officeDocument/2006/relationships/hyperlink" Target="https://www.youtube.com/watch?v=mzJaVECyoSQ" TargetMode="External"/><Relationship Id="rId10" Type="http://schemas.openxmlformats.org/officeDocument/2006/relationships/drawing" Target="../drawings/drawing1.xml"/><Relationship Id="rId12" Type="http://schemas.openxmlformats.org/officeDocument/2006/relationships/table" Target="../tables/table1.xml"/><Relationship Id="rId9" Type="http://schemas.openxmlformats.org/officeDocument/2006/relationships/hyperlink" Target="https://www.youtube.com/watch?v=FLfVZWmv-w4" TargetMode="External"/><Relationship Id="rId5" Type="http://schemas.openxmlformats.org/officeDocument/2006/relationships/hyperlink" Target="https://www.youtube.com/watch?v=BH9lpGIyJFQ" TargetMode="External"/><Relationship Id="rId6" Type="http://schemas.openxmlformats.org/officeDocument/2006/relationships/hyperlink" Target="https://www.youtube.com/watch?v=kN0jCCO7quU" TargetMode="External"/><Relationship Id="rId7" Type="http://schemas.openxmlformats.org/officeDocument/2006/relationships/hyperlink" Target="https://www.youtube.com/watch?v=MsxvP-uPgMM" TargetMode="External"/><Relationship Id="rId8" Type="http://schemas.openxmlformats.org/officeDocument/2006/relationships/hyperlink" Target="https://www.youtube.com/watch?v=nBy9CjDwQPI" TargetMode="Externa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youtube.com/watch?v=0tr0gVys__U" TargetMode="External"/><Relationship Id="rId20" Type="http://schemas.openxmlformats.org/officeDocument/2006/relationships/hyperlink" Target="https://www.youtube.com/watch?v=j77_Txrt6i8" TargetMode="External"/><Relationship Id="rId42" Type="http://schemas.openxmlformats.org/officeDocument/2006/relationships/hyperlink" Target="https://www.youtube.com/watch?v=eyxg7OHVebY" TargetMode="External"/><Relationship Id="rId41" Type="http://schemas.openxmlformats.org/officeDocument/2006/relationships/hyperlink" Target="https://www.youtube.com/watch?v=WRhY6bcRlgI" TargetMode="External"/><Relationship Id="rId22" Type="http://schemas.openxmlformats.org/officeDocument/2006/relationships/hyperlink" Target="https://www.youtube.com/watch?v=1YsIljCyExw" TargetMode="External"/><Relationship Id="rId44" Type="http://schemas.openxmlformats.org/officeDocument/2006/relationships/drawing" Target="../drawings/drawing2.xml"/><Relationship Id="rId21" Type="http://schemas.openxmlformats.org/officeDocument/2006/relationships/hyperlink" Target="https://www.youtube.com/watch?v=nmK_PpDfheI" TargetMode="External"/><Relationship Id="rId43" Type="http://schemas.openxmlformats.org/officeDocument/2006/relationships/hyperlink" Target="https://www.youtube.com/watch?v=Y8n1KNZuX4U" TargetMode="External"/><Relationship Id="rId24" Type="http://schemas.openxmlformats.org/officeDocument/2006/relationships/hyperlink" Target="https://www.youtube.com/watch?v=-0t8EC-pix0" TargetMode="External"/><Relationship Id="rId46" Type="http://schemas.openxmlformats.org/officeDocument/2006/relationships/table" Target="../tables/table2.xml"/><Relationship Id="rId23" Type="http://schemas.openxmlformats.org/officeDocument/2006/relationships/hyperlink" Target="https://www.youtube.com/watch?v=-l8d99iXhqo" TargetMode="External"/><Relationship Id="rId1" Type="http://schemas.openxmlformats.org/officeDocument/2006/relationships/hyperlink" Target="https://www.youtube.com/watch?v=Ia8nXPWaM2Q" TargetMode="External"/><Relationship Id="rId2" Type="http://schemas.openxmlformats.org/officeDocument/2006/relationships/hyperlink" Target="https://www.youtube.com/watch?v=-nZYq_q2EL8" TargetMode="External"/><Relationship Id="rId3" Type="http://schemas.openxmlformats.org/officeDocument/2006/relationships/hyperlink" Target="https://www.youtube.com/watch?v=hvKwO67Kh_4" TargetMode="External"/><Relationship Id="rId4" Type="http://schemas.openxmlformats.org/officeDocument/2006/relationships/hyperlink" Target="https://www.youtube.com/watch?v=d5h9BujLOEk" TargetMode="External"/><Relationship Id="rId9" Type="http://schemas.openxmlformats.org/officeDocument/2006/relationships/hyperlink" Target="https://www.youtube.com/watch?v=fhMSLl1jbdQ" TargetMode="External"/><Relationship Id="rId26" Type="http://schemas.openxmlformats.org/officeDocument/2006/relationships/hyperlink" Target="https://www.youtube.com/watch?v=kWzA7m2jvIA" TargetMode="External"/><Relationship Id="rId25" Type="http://schemas.openxmlformats.org/officeDocument/2006/relationships/hyperlink" Target="https://www.youtube.com/watch?v=4T3kOPdACAE" TargetMode="External"/><Relationship Id="rId28" Type="http://schemas.openxmlformats.org/officeDocument/2006/relationships/hyperlink" Target="https://www.youtube.com/watch?v=xXxLivvq6YQ" TargetMode="External"/><Relationship Id="rId27" Type="http://schemas.openxmlformats.org/officeDocument/2006/relationships/hyperlink" Target="https://www.youtube.com/watch?v=fHrdFyPCICs" TargetMode="External"/><Relationship Id="rId5" Type="http://schemas.openxmlformats.org/officeDocument/2006/relationships/hyperlink" Target="https://www.youtube.com/watch?v=34Pa1AGeAcE" TargetMode="External"/><Relationship Id="rId6" Type="http://schemas.openxmlformats.org/officeDocument/2006/relationships/hyperlink" Target="https://www.youtube.com/watch?v=s3UDNQmcAqQ" TargetMode="External"/><Relationship Id="rId29" Type="http://schemas.openxmlformats.org/officeDocument/2006/relationships/hyperlink" Target="https://www.youtube.com/watch?v=LXciEmGzOos" TargetMode="External"/><Relationship Id="rId7" Type="http://schemas.openxmlformats.org/officeDocument/2006/relationships/hyperlink" Target="https://www.youtube.com/watch?v=91l_VaeNAAw" TargetMode="External"/><Relationship Id="rId8" Type="http://schemas.openxmlformats.org/officeDocument/2006/relationships/hyperlink" Target="https://www.youtube.com/watch?v=pwzdplv2UYY" TargetMode="External"/><Relationship Id="rId31" Type="http://schemas.openxmlformats.org/officeDocument/2006/relationships/hyperlink" Target="https://www.youtube.com/watch?v=YJj0Vd5phys" TargetMode="External"/><Relationship Id="rId30" Type="http://schemas.openxmlformats.org/officeDocument/2006/relationships/hyperlink" Target="https://www.youtube.com/watch?v=Ezla0S7JBbk" TargetMode="External"/><Relationship Id="rId11" Type="http://schemas.openxmlformats.org/officeDocument/2006/relationships/hyperlink" Target="https://www.youtube.com/watch?v=i1WKGD5CPgs" TargetMode="External"/><Relationship Id="rId33" Type="http://schemas.openxmlformats.org/officeDocument/2006/relationships/hyperlink" Target="https://www.youtube.com/watch?v=YpMaV-o03tY" TargetMode="External"/><Relationship Id="rId10" Type="http://schemas.openxmlformats.org/officeDocument/2006/relationships/hyperlink" Target="https://www.youtube.com/watch?v=TRYBTgAVHBc" TargetMode="External"/><Relationship Id="rId32" Type="http://schemas.openxmlformats.org/officeDocument/2006/relationships/hyperlink" Target="https://www.youtube.com/watch?v=vEvKRUEfCls" TargetMode="External"/><Relationship Id="rId13" Type="http://schemas.openxmlformats.org/officeDocument/2006/relationships/hyperlink" Target="https://www.youtube.com/watch?v=N_BBIilQpa8" TargetMode="External"/><Relationship Id="rId35" Type="http://schemas.openxmlformats.org/officeDocument/2006/relationships/hyperlink" Target="https://www.youtube.com/watch?v=JQ8m51X1CHU" TargetMode="External"/><Relationship Id="rId12" Type="http://schemas.openxmlformats.org/officeDocument/2006/relationships/hyperlink" Target="https://www.youtube.com/watch?v=XD8yEhkYfbA" TargetMode="External"/><Relationship Id="rId34" Type="http://schemas.openxmlformats.org/officeDocument/2006/relationships/hyperlink" Target="https://www.youtube.com/watch?v=EGZQWGHbMxw" TargetMode="External"/><Relationship Id="rId15" Type="http://schemas.openxmlformats.org/officeDocument/2006/relationships/hyperlink" Target="https://www.youtube.com/watch?v=kGKimPqRNTE" TargetMode="External"/><Relationship Id="rId37" Type="http://schemas.openxmlformats.org/officeDocument/2006/relationships/hyperlink" Target="https://www.youtube.com/watch?v=j_KHki0fPzU" TargetMode="External"/><Relationship Id="rId14" Type="http://schemas.openxmlformats.org/officeDocument/2006/relationships/hyperlink" Target="https://www.youtube.com/watch?v=9hs0yYrq-oU" TargetMode="External"/><Relationship Id="rId36" Type="http://schemas.openxmlformats.org/officeDocument/2006/relationships/hyperlink" Target="https://www.youtube.com/watch?v=R1KjAR_JLX8" TargetMode="External"/><Relationship Id="rId17" Type="http://schemas.openxmlformats.org/officeDocument/2006/relationships/hyperlink" Target="https://www.youtube.com/watch?v=R-SgPDzt5xk" TargetMode="External"/><Relationship Id="rId39" Type="http://schemas.openxmlformats.org/officeDocument/2006/relationships/hyperlink" Target="https://www.youtube.com/watch?v=7gUikIn5qjI" TargetMode="External"/><Relationship Id="rId16" Type="http://schemas.openxmlformats.org/officeDocument/2006/relationships/hyperlink" Target="https://www.youtube.com/watch?v=7gZGsqWo8Cc" TargetMode="External"/><Relationship Id="rId38" Type="http://schemas.openxmlformats.org/officeDocument/2006/relationships/hyperlink" Target="https://www.youtube.com/watch?v=aXAKg9foWpA" TargetMode="External"/><Relationship Id="rId19" Type="http://schemas.openxmlformats.org/officeDocument/2006/relationships/hyperlink" Target="https://www.youtube.com/watch?v=bEl5Vf68Dl8" TargetMode="External"/><Relationship Id="rId18" Type="http://schemas.openxmlformats.org/officeDocument/2006/relationships/hyperlink" Target="https://www.youtube.com/watch?v=T6YfT00P4rY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www.youtube.com/watch?v=yydVIBCfeaw" TargetMode="External"/><Relationship Id="rId2" Type="http://schemas.openxmlformats.org/officeDocument/2006/relationships/hyperlink" Target="https://www.youtube.com/watch?v=gGaSzKqclQo" TargetMode="External"/><Relationship Id="rId3" Type="http://schemas.openxmlformats.org/officeDocument/2006/relationships/hyperlink" Target="https://www.youtube.com/watch?v=0z6T6GQKNmA" TargetMode="External"/><Relationship Id="rId4" Type="http://schemas.openxmlformats.org/officeDocument/2006/relationships/hyperlink" Target="https://www.youtube.com/watch?v=FdTBpE-Pe50" TargetMode="External"/><Relationship Id="rId9" Type="http://schemas.openxmlformats.org/officeDocument/2006/relationships/hyperlink" Target="https://www.youtube.com/watch?v=KwjGtkVM-Lg" TargetMode="External"/><Relationship Id="rId5" Type="http://schemas.openxmlformats.org/officeDocument/2006/relationships/hyperlink" Target="https://www.youtube.com/watch?v=RNd4Zk00B9w" TargetMode="External"/><Relationship Id="rId6" Type="http://schemas.openxmlformats.org/officeDocument/2006/relationships/hyperlink" Target="https://www.youtube.com/watch?v=yfYwH8mhmFM" TargetMode="External"/><Relationship Id="rId7" Type="http://schemas.openxmlformats.org/officeDocument/2006/relationships/hyperlink" Target="https://www.youtube.com/watch?v=-0W7lzbkL5Q" TargetMode="External"/><Relationship Id="rId8" Type="http://schemas.openxmlformats.org/officeDocument/2006/relationships/hyperlink" Target="https://www.youtube.com/watch?v=qCwUjEsUJVY" TargetMode="External"/><Relationship Id="rId11" Type="http://schemas.openxmlformats.org/officeDocument/2006/relationships/hyperlink" Target="https://www.youtube.com/watch?v=hQf1o4Pr1HI" TargetMode="External"/><Relationship Id="rId10" Type="http://schemas.openxmlformats.org/officeDocument/2006/relationships/hyperlink" Target="https://www.youtube.com/watch?v=hdyD_J2Gu7k" TargetMode="External"/><Relationship Id="rId13" Type="http://schemas.openxmlformats.org/officeDocument/2006/relationships/hyperlink" Target="https://www.youtube.com/watch?v=UPc9Qun3buw" TargetMode="External"/><Relationship Id="rId12" Type="http://schemas.openxmlformats.org/officeDocument/2006/relationships/hyperlink" Target="https://www.youtube.com/watch?v=ptIWCg-pd9w" TargetMode="External"/><Relationship Id="rId15" Type="http://schemas.openxmlformats.org/officeDocument/2006/relationships/hyperlink" Target="https://www.youtube.com/watch?v=E7utazPNtz0" TargetMode="External"/><Relationship Id="rId14" Type="http://schemas.openxmlformats.org/officeDocument/2006/relationships/hyperlink" Target="https://www.youtube.com/watch?v=D5JQ-di76NE" TargetMode="External"/><Relationship Id="rId17" Type="http://schemas.openxmlformats.org/officeDocument/2006/relationships/drawing" Target="../drawings/drawing3.xml"/><Relationship Id="rId16" Type="http://schemas.openxmlformats.org/officeDocument/2006/relationships/hyperlink" Target="https://www.youtube.com/watch?v=0WRAeRq6Lws" TargetMode="External"/><Relationship Id="rId19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youtube.com/playlist?list=PLtpZIhnmnbVsmPRGkiQQ0so6jEvzJ53EQ&amp;si=b0xyAmNNXiFKeS_f" TargetMode="External"/><Relationship Id="rId2" Type="http://schemas.openxmlformats.org/officeDocument/2006/relationships/hyperlink" Target="https://youtube.com/playlist?list=PLtpZIhnmnbVvWDxNmXjLGnAOa528cL5gO&amp;si=5wWzTwNkPNhI7aC4" TargetMode="External"/><Relationship Id="rId3" Type="http://schemas.openxmlformats.org/officeDocument/2006/relationships/hyperlink" Target="https://youtube.com/playlist?list=PLDqahtm2vA72naWj1foEqGFQiN_bRI5my&amp;si=fdu9qemErheo0xZT" TargetMode="External"/><Relationship Id="rId4" Type="http://schemas.openxmlformats.org/officeDocument/2006/relationships/hyperlink" Target="https://youtube.com/playlist?list=PLjhrDIztP9pcbBG75_Y8GhtwFkNWBlg-R&amp;si=VClav4Da_oj9wsZc" TargetMode="External"/><Relationship Id="rId9" Type="http://schemas.openxmlformats.org/officeDocument/2006/relationships/drawing" Target="../drawings/drawing4.xml"/><Relationship Id="rId5" Type="http://schemas.openxmlformats.org/officeDocument/2006/relationships/hyperlink" Target="https://youtube.com/playlist?list=PLlNdduOe1pp12SWXlphYT5h7zj0p2mhx3&amp;si=S0Z6BRJ5Tc38Gaql" TargetMode="External"/><Relationship Id="rId6" Type="http://schemas.openxmlformats.org/officeDocument/2006/relationships/hyperlink" Target="https://youtube.com/playlist?list=PLBB64oZyWpq7WgF_VMqV_K3ljxpzA5AT0&amp;si=cPDopqnnBYvttNLK" TargetMode="External"/><Relationship Id="rId7" Type="http://schemas.openxmlformats.org/officeDocument/2006/relationships/hyperlink" Target="https://youtube.com/playlist?list=PLvLNoPBJjpJ_73UodnumRBxBwMqHQr3kb&amp;si=cVk_cRtMj_ZiwPJg" TargetMode="External"/><Relationship Id="rId8" Type="http://schemas.openxmlformats.org/officeDocument/2006/relationships/hyperlink" Target="https://youtube.com/playlist?list=PLBB64oZyWpq7wf4kstXsylKoRJCMg6dGq&amp;si=IpxMYYaaTqCYnMz6" TargetMode="External"/><Relationship Id="rId13" Type="http://schemas.openxmlformats.org/officeDocument/2006/relationships/table" Target="../tables/table5.xml"/><Relationship Id="rId12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www.youtube.com/watch?v=5MiNNrqCkbU" TargetMode="External"/><Relationship Id="rId2" Type="http://schemas.openxmlformats.org/officeDocument/2006/relationships/hyperlink" Target="https://www.youtube.com/watch?v=4tqRPKQCy4U" TargetMode="External"/><Relationship Id="rId3" Type="http://schemas.openxmlformats.org/officeDocument/2006/relationships/hyperlink" Target="https://www.youtube.com/watch?v=fg7WPkkVD_s" TargetMode="External"/><Relationship Id="rId4" Type="http://schemas.openxmlformats.org/officeDocument/2006/relationships/hyperlink" Target="https://www.youtube.com/watch?v=G6A_XvtkuPs" TargetMode="External"/><Relationship Id="rId9" Type="http://schemas.openxmlformats.org/officeDocument/2006/relationships/hyperlink" Target="https://www.youtube.com/watch?v=mnfA1g2YqZ8" TargetMode="External"/><Relationship Id="rId5" Type="http://schemas.openxmlformats.org/officeDocument/2006/relationships/hyperlink" Target="https://www.youtube.com/watch?v=zNdf-E-XzX0" TargetMode="External"/><Relationship Id="rId6" Type="http://schemas.openxmlformats.org/officeDocument/2006/relationships/hyperlink" Target="https://www.youtube.com/watch?v=jkLvsRufOYY" TargetMode="External"/><Relationship Id="rId7" Type="http://schemas.openxmlformats.org/officeDocument/2006/relationships/hyperlink" Target="https://www.youtube.com/watch?v=mTqYblbnwyw" TargetMode="External"/><Relationship Id="rId8" Type="http://schemas.openxmlformats.org/officeDocument/2006/relationships/hyperlink" Target="https://www.youtube.com/watch?v=VLSuK9o8Xks" TargetMode="External"/><Relationship Id="rId11" Type="http://schemas.openxmlformats.org/officeDocument/2006/relationships/drawing" Target="../drawings/drawing5.xml"/><Relationship Id="rId10" Type="http://schemas.openxmlformats.org/officeDocument/2006/relationships/hyperlink" Target="https://www.youtube.com/watch?v=O31jobQRnrg" TargetMode="External"/><Relationship Id="rId15" Type="http://schemas.openxmlformats.org/officeDocument/2006/relationships/table" Target="../tables/table6.xml"/><Relationship Id="rId17" Type="http://schemas.openxmlformats.org/officeDocument/2006/relationships/table" Target="../tables/table8.xml"/><Relationship Id="rId16" Type="http://schemas.openxmlformats.org/officeDocument/2006/relationships/table" Target="../tables/table7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youtube.com/watch?v=MH-0SeCbbjQ" TargetMode="External"/><Relationship Id="rId42" Type="http://schemas.openxmlformats.org/officeDocument/2006/relationships/hyperlink" Target="https://www.youtube.com/watch?v=08pFTxqoRDE" TargetMode="External"/><Relationship Id="rId41" Type="http://schemas.openxmlformats.org/officeDocument/2006/relationships/hyperlink" Target="https://www.youtube.com/watch?v=sulbJGWj8HA" TargetMode="External"/><Relationship Id="rId44" Type="http://schemas.openxmlformats.org/officeDocument/2006/relationships/hyperlink" Target="https://www.youtube.com/watch?v=kbZjyKZq1j0" TargetMode="External"/><Relationship Id="rId43" Type="http://schemas.openxmlformats.org/officeDocument/2006/relationships/hyperlink" Target="https://www.youtube.com/watch?v=ZSbQSnwZ3nQ" TargetMode="External"/><Relationship Id="rId46" Type="http://schemas.openxmlformats.org/officeDocument/2006/relationships/hyperlink" Target="https://www.youtube.com/watch?v=Z7DYBVRC1yE" TargetMode="External"/><Relationship Id="rId45" Type="http://schemas.openxmlformats.org/officeDocument/2006/relationships/hyperlink" Target="https://www.youtube.com/watch?v=oQtz4aFGy10" TargetMode="External"/><Relationship Id="rId48" Type="http://schemas.openxmlformats.org/officeDocument/2006/relationships/hyperlink" Target="https://www.youtube.com/watch?v=TX8PAa9Dtsk" TargetMode="External"/><Relationship Id="rId47" Type="http://schemas.openxmlformats.org/officeDocument/2006/relationships/hyperlink" Target="https://www.youtube.com/watch?v=NoYOpyRR4bg" TargetMode="External"/><Relationship Id="rId49" Type="http://schemas.openxmlformats.org/officeDocument/2006/relationships/hyperlink" Target="https://www.youtube.com/watch?v=yYr8G6ePHcM" TargetMode="External"/><Relationship Id="rId31" Type="http://schemas.openxmlformats.org/officeDocument/2006/relationships/hyperlink" Target="https://www.youtube.com/watch?v=aAF3HMY0pIw" TargetMode="External"/><Relationship Id="rId30" Type="http://schemas.openxmlformats.org/officeDocument/2006/relationships/hyperlink" Target="https://www.youtube.com/watch?v=ePNb9Tbqjo4" TargetMode="External"/><Relationship Id="rId33" Type="http://schemas.openxmlformats.org/officeDocument/2006/relationships/hyperlink" Target="https://www.youtube.com/watch?v=bEdyWDSo_lU" TargetMode="External"/><Relationship Id="rId32" Type="http://schemas.openxmlformats.org/officeDocument/2006/relationships/hyperlink" Target="https://www.youtube.com/watch?v=UrRfYqlwSlg" TargetMode="External"/><Relationship Id="rId35" Type="http://schemas.openxmlformats.org/officeDocument/2006/relationships/hyperlink" Target="https://www.youtube.com/watch?v=sBnN1-VXQn8" TargetMode="External"/><Relationship Id="rId34" Type="http://schemas.openxmlformats.org/officeDocument/2006/relationships/hyperlink" Target="https://www.youtube.com/watch?v=BeNaR8AG0jk" TargetMode="External"/><Relationship Id="rId37" Type="http://schemas.openxmlformats.org/officeDocument/2006/relationships/hyperlink" Target="https://www.youtube.com/watch?v=lxXLb5lKe90" TargetMode="External"/><Relationship Id="rId36" Type="http://schemas.openxmlformats.org/officeDocument/2006/relationships/hyperlink" Target="https://www.youtube.com/watch?v=f8pmDJPqsnw" TargetMode="External"/><Relationship Id="rId39" Type="http://schemas.openxmlformats.org/officeDocument/2006/relationships/hyperlink" Target="https://www.youtube.com/watch?v=TLEd0NRA7eo" TargetMode="External"/><Relationship Id="rId38" Type="http://schemas.openxmlformats.org/officeDocument/2006/relationships/hyperlink" Target="https://www.youtube.com/watch?v=_fUJ0iLQa4M" TargetMode="External"/><Relationship Id="rId20" Type="http://schemas.openxmlformats.org/officeDocument/2006/relationships/hyperlink" Target="https://www.youtube.com/watch?v=nwnWDhvWoQA" TargetMode="External"/><Relationship Id="rId22" Type="http://schemas.openxmlformats.org/officeDocument/2006/relationships/hyperlink" Target="https://www.youtube.com/watch?v=oQfOW-nDwGw" TargetMode="External"/><Relationship Id="rId21" Type="http://schemas.openxmlformats.org/officeDocument/2006/relationships/hyperlink" Target="https://www.youtube.com/watch?v=GcR1RBOlx0E" TargetMode="External"/><Relationship Id="rId24" Type="http://schemas.openxmlformats.org/officeDocument/2006/relationships/hyperlink" Target="https://www.youtube.com/watch?v=_tjkkPaGoQQ" TargetMode="External"/><Relationship Id="rId23" Type="http://schemas.openxmlformats.org/officeDocument/2006/relationships/hyperlink" Target="https://www.youtube.com/watch?v=ziaPHfFl-SU" TargetMode="External"/><Relationship Id="rId26" Type="http://schemas.openxmlformats.org/officeDocument/2006/relationships/hyperlink" Target="https://www.youtube.com/watch?v=osX8BDu4kj0" TargetMode="External"/><Relationship Id="rId25" Type="http://schemas.openxmlformats.org/officeDocument/2006/relationships/hyperlink" Target="https://www.youtube.com/watch?v=OkLdRJg2V1k" TargetMode="External"/><Relationship Id="rId28" Type="http://schemas.openxmlformats.org/officeDocument/2006/relationships/hyperlink" Target="https://www.youtube.com/watch?v=eOleub_msJk" TargetMode="External"/><Relationship Id="rId27" Type="http://schemas.openxmlformats.org/officeDocument/2006/relationships/hyperlink" Target="https://www.youtube.com/watch?v=jD0wXDfnPf4" TargetMode="External"/><Relationship Id="rId29" Type="http://schemas.openxmlformats.org/officeDocument/2006/relationships/hyperlink" Target="https://www.youtube.com/watch?v=Wp68_EHOZFY" TargetMode="External"/><Relationship Id="rId95" Type="http://schemas.openxmlformats.org/officeDocument/2006/relationships/hyperlink" Target="https://www.youtube.com/watch?v=8HadaypJ3Fo" TargetMode="External"/><Relationship Id="rId94" Type="http://schemas.openxmlformats.org/officeDocument/2006/relationships/hyperlink" Target="https://www.youtube.com/watch?v=zYWzaSKUohw" TargetMode="External"/><Relationship Id="rId96" Type="http://schemas.openxmlformats.org/officeDocument/2006/relationships/drawing" Target="../drawings/drawing7.xml"/><Relationship Id="rId11" Type="http://schemas.openxmlformats.org/officeDocument/2006/relationships/hyperlink" Target="https://www.youtube.com/watch?v=g-qnkOC9NUs" TargetMode="External"/><Relationship Id="rId10" Type="http://schemas.openxmlformats.org/officeDocument/2006/relationships/hyperlink" Target="https://www.youtube.com/watch?v=JGeI8FFVIAU" TargetMode="External"/><Relationship Id="rId98" Type="http://schemas.openxmlformats.org/officeDocument/2006/relationships/table" Target="../tables/table9.xml"/><Relationship Id="rId13" Type="http://schemas.openxmlformats.org/officeDocument/2006/relationships/hyperlink" Target="https://www.youtube.com/watch?v=LfpM2MMKhBE" TargetMode="External"/><Relationship Id="rId12" Type="http://schemas.openxmlformats.org/officeDocument/2006/relationships/hyperlink" Target="https://www.youtube.com/watch?v=ECE51uJnYSM" TargetMode="External"/><Relationship Id="rId91" Type="http://schemas.openxmlformats.org/officeDocument/2006/relationships/hyperlink" Target="https://www.youtube.com/watch?v=FKdZ5yGO_Dg" TargetMode="External"/><Relationship Id="rId90" Type="http://schemas.openxmlformats.org/officeDocument/2006/relationships/hyperlink" Target="https://www.youtube.com/watch?v=JRnHtYwTkuI" TargetMode="External"/><Relationship Id="rId93" Type="http://schemas.openxmlformats.org/officeDocument/2006/relationships/hyperlink" Target="https://www.youtube.com/watch?v=dhrJAEGQIqs" TargetMode="External"/><Relationship Id="rId92" Type="http://schemas.openxmlformats.org/officeDocument/2006/relationships/hyperlink" Target="https://www.youtube.com/watch?v=O7rS6oRZDNE" TargetMode="External"/><Relationship Id="rId15" Type="http://schemas.openxmlformats.org/officeDocument/2006/relationships/hyperlink" Target="https://www.youtube.com/watch?v=VGxYDJ1EibM" TargetMode="External"/><Relationship Id="rId14" Type="http://schemas.openxmlformats.org/officeDocument/2006/relationships/hyperlink" Target="https://www.youtube.com/watch?v=7W1OF2EhUWQ" TargetMode="External"/><Relationship Id="rId17" Type="http://schemas.openxmlformats.org/officeDocument/2006/relationships/hyperlink" Target="https://www.youtube.com/watch?v=4ygfOkaotBM" TargetMode="External"/><Relationship Id="rId16" Type="http://schemas.openxmlformats.org/officeDocument/2006/relationships/hyperlink" Target="https://www.youtube.com/watch?v=DIhkOKsweec" TargetMode="External"/><Relationship Id="rId19" Type="http://schemas.openxmlformats.org/officeDocument/2006/relationships/hyperlink" Target="https://www.youtube.com/watch?v=fHsOuVse56g" TargetMode="External"/><Relationship Id="rId18" Type="http://schemas.openxmlformats.org/officeDocument/2006/relationships/hyperlink" Target="https://www.youtube.com/watch?v=7W0shLpZp2k" TargetMode="External"/><Relationship Id="rId84" Type="http://schemas.openxmlformats.org/officeDocument/2006/relationships/hyperlink" Target="https://www.youtube.com/watch?v=IgdyhxQkI9o" TargetMode="External"/><Relationship Id="rId83" Type="http://schemas.openxmlformats.org/officeDocument/2006/relationships/hyperlink" Target="https://www.youtube.com/watch?v=e0HL_pWJSZI" TargetMode="External"/><Relationship Id="rId86" Type="http://schemas.openxmlformats.org/officeDocument/2006/relationships/hyperlink" Target="https://www.youtube.com/watch?v=hFjBhVana8E" TargetMode="External"/><Relationship Id="rId85" Type="http://schemas.openxmlformats.org/officeDocument/2006/relationships/hyperlink" Target="https://www.youtube.com/watch?v=0aJ3Hdi54YQ" TargetMode="External"/><Relationship Id="rId88" Type="http://schemas.openxmlformats.org/officeDocument/2006/relationships/hyperlink" Target="https://www.youtube.com/watch?v=QJyYF3AQPnA" TargetMode="External"/><Relationship Id="rId87" Type="http://schemas.openxmlformats.org/officeDocument/2006/relationships/hyperlink" Target="https://www.youtube.com/watch?v=tobtOiFXk1c" TargetMode="External"/><Relationship Id="rId89" Type="http://schemas.openxmlformats.org/officeDocument/2006/relationships/hyperlink" Target="https://www.youtube.com/watch?v=B4amCCPvCa0" TargetMode="External"/><Relationship Id="rId80" Type="http://schemas.openxmlformats.org/officeDocument/2006/relationships/hyperlink" Target="https://www.youtube.com/watch?v=1HBOg8SFO5g" TargetMode="External"/><Relationship Id="rId82" Type="http://schemas.openxmlformats.org/officeDocument/2006/relationships/hyperlink" Target="https://www.youtube.com/watch?v=wruoIiI0mLw" TargetMode="External"/><Relationship Id="rId81" Type="http://schemas.openxmlformats.org/officeDocument/2006/relationships/hyperlink" Target="https://www.youtube.com/watch?v=L7jzzz2d9NQ" TargetMode="External"/><Relationship Id="rId1" Type="http://schemas.openxmlformats.org/officeDocument/2006/relationships/hyperlink" Target="https://www.youtube.com/watch?v=kDgozf92HnE" TargetMode="External"/><Relationship Id="rId2" Type="http://schemas.openxmlformats.org/officeDocument/2006/relationships/hyperlink" Target="https://www.youtube.com/watch?v=QyGATMPExP0" TargetMode="External"/><Relationship Id="rId3" Type="http://schemas.openxmlformats.org/officeDocument/2006/relationships/hyperlink" Target="https://www.youtube.com/watch?v=r89qCiTd7Ms" TargetMode="External"/><Relationship Id="rId4" Type="http://schemas.openxmlformats.org/officeDocument/2006/relationships/hyperlink" Target="https://www.youtube.com/watch?v=vVnL2ilzjSU" TargetMode="External"/><Relationship Id="rId9" Type="http://schemas.openxmlformats.org/officeDocument/2006/relationships/hyperlink" Target="https://www.youtube.com/watch?v=bSfT3GDG65I" TargetMode="External"/><Relationship Id="rId5" Type="http://schemas.openxmlformats.org/officeDocument/2006/relationships/hyperlink" Target="https://www.youtube.com/watch?v=oxqFa39gU8o" TargetMode="External"/><Relationship Id="rId6" Type="http://schemas.openxmlformats.org/officeDocument/2006/relationships/hyperlink" Target="https://www.youtube.com/watch?v=J0mm2UO7yY4" TargetMode="External"/><Relationship Id="rId7" Type="http://schemas.openxmlformats.org/officeDocument/2006/relationships/hyperlink" Target="https://www.youtube.com/watch?v=bgpUya4UTj0" TargetMode="External"/><Relationship Id="rId8" Type="http://schemas.openxmlformats.org/officeDocument/2006/relationships/hyperlink" Target="https://www.youtube.com/watch?v=LASOGS1-XYw" TargetMode="External"/><Relationship Id="rId73" Type="http://schemas.openxmlformats.org/officeDocument/2006/relationships/hyperlink" Target="https://www.youtube.com/watch?v=B87pEL1wZ5Y" TargetMode="External"/><Relationship Id="rId72" Type="http://schemas.openxmlformats.org/officeDocument/2006/relationships/hyperlink" Target="https://www.youtube.com/watch?v=hbiYl3gkekk" TargetMode="External"/><Relationship Id="rId75" Type="http://schemas.openxmlformats.org/officeDocument/2006/relationships/hyperlink" Target="https://www.youtube.com/watch?v=dZphTCZE_2w" TargetMode="External"/><Relationship Id="rId74" Type="http://schemas.openxmlformats.org/officeDocument/2006/relationships/hyperlink" Target="https://www.youtube.com/watch?v=y6P56vJjPMo" TargetMode="External"/><Relationship Id="rId77" Type="http://schemas.openxmlformats.org/officeDocument/2006/relationships/hyperlink" Target="https://www.youtube.com/watch?v=r04xLZmEkiQ" TargetMode="External"/><Relationship Id="rId76" Type="http://schemas.openxmlformats.org/officeDocument/2006/relationships/hyperlink" Target="https://www.youtube.com/watch?v=4UIw2TyPQlk" TargetMode="External"/><Relationship Id="rId79" Type="http://schemas.openxmlformats.org/officeDocument/2006/relationships/hyperlink" Target="https://www.youtube.com/watch?v=IGfyM-jfenU" TargetMode="External"/><Relationship Id="rId78" Type="http://schemas.openxmlformats.org/officeDocument/2006/relationships/hyperlink" Target="https://www.youtube.com/watch?v=ZNhuXrWF6dE" TargetMode="External"/><Relationship Id="rId71" Type="http://schemas.openxmlformats.org/officeDocument/2006/relationships/hyperlink" Target="https://www.youtube.com/watch?v=QQKC3lir7l8" TargetMode="External"/><Relationship Id="rId70" Type="http://schemas.openxmlformats.org/officeDocument/2006/relationships/hyperlink" Target="https://www.youtube.com/watch?v=57aGuNl-5ig" TargetMode="External"/><Relationship Id="rId62" Type="http://schemas.openxmlformats.org/officeDocument/2006/relationships/hyperlink" Target="https://www.youtube.com/watch?v=3jKmn7QDvCk" TargetMode="External"/><Relationship Id="rId61" Type="http://schemas.openxmlformats.org/officeDocument/2006/relationships/hyperlink" Target="https://www.youtube.com/watch?v=ldboOBqeDKQ" TargetMode="External"/><Relationship Id="rId64" Type="http://schemas.openxmlformats.org/officeDocument/2006/relationships/hyperlink" Target="https://www.youtube.com/watch?v=KCqFYM6Ocg4" TargetMode="External"/><Relationship Id="rId63" Type="http://schemas.openxmlformats.org/officeDocument/2006/relationships/hyperlink" Target="https://www.youtube.com/watch?v=J6-ldGIwfCY" TargetMode="External"/><Relationship Id="rId66" Type="http://schemas.openxmlformats.org/officeDocument/2006/relationships/hyperlink" Target="https://www.youtube.com/watch?v=LCVXbW4K-EQ" TargetMode="External"/><Relationship Id="rId65" Type="http://schemas.openxmlformats.org/officeDocument/2006/relationships/hyperlink" Target="https://www.youtube.com/watch?v=Y5u48zzFJHo" TargetMode="External"/><Relationship Id="rId68" Type="http://schemas.openxmlformats.org/officeDocument/2006/relationships/hyperlink" Target="https://www.youtube.com/watch?v=kWUwQLxyl1E" TargetMode="External"/><Relationship Id="rId67" Type="http://schemas.openxmlformats.org/officeDocument/2006/relationships/hyperlink" Target="https://www.youtube.com/watch?v=kiPagOm3w7k" TargetMode="External"/><Relationship Id="rId60" Type="http://schemas.openxmlformats.org/officeDocument/2006/relationships/hyperlink" Target="https://www.youtube.com/watch?v=7-pFw0d6ygY" TargetMode="External"/><Relationship Id="rId69" Type="http://schemas.openxmlformats.org/officeDocument/2006/relationships/hyperlink" Target="https://www.youtube.com/watch?v=9lde2X3emEM" TargetMode="External"/><Relationship Id="rId51" Type="http://schemas.openxmlformats.org/officeDocument/2006/relationships/hyperlink" Target="https://www.youtube.com/watch?v=T_RZcAdf95o" TargetMode="External"/><Relationship Id="rId50" Type="http://schemas.openxmlformats.org/officeDocument/2006/relationships/hyperlink" Target="https://www.youtube.com/watch?v=jjgSmE6UUWg" TargetMode="External"/><Relationship Id="rId53" Type="http://schemas.openxmlformats.org/officeDocument/2006/relationships/hyperlink" Target="https://www.youtube.com/watch?v=_dFqiac60j0" TargetMode="External"/><Relationship Id="rId52" Type="http://schemas.openxmlformats.org/officeDocument/2006/relationships/hyperlink" Target="https://www.youtube.com/watch?v=JIwk9rVVuI8" TargetMode="External"/><Relationship Id="rId55" Type="http://schemas.openxmlformats.org/officeDocument/2006/relationships/hyperlink" Target="https://www.youtube.com/watch?v=eEd9AfPA4Xg" TargetMode="External"/><Relationship Id="rId54" Type="http://schemas.openxmlformats.org/officeDocument/2006/relationships/hyperlink" Target="https://www.youtube.com/watch?v=eS7Oprwq9gE" TargetMode="External"/><Relationship Id="rId57" Type="http://schemas.openxmlformats.org/officeDocument/2006/relationships/hyperlink" Target="https://www.youtube.com/watch?v=j8zai18f2qw" TargetMode="External"/><Relationship Id="rId56" Type="http://schemas.openxmlformats.org/officeDocument/2006/relationships/hyperlink" Target="https://www.youtube.com/watch?v=2Z6PeAH0fjc" TargetMode="External"/><Relationship Id="rId59" Type="http://schemas.openxmlformats.org/officeDocument/2006/relationships/hyperlink" Target="https://www.youtube.com/watch?v=1KJPZ3aL5oc" TargetMode="External"/><Relationship Id="rId58" Type="http://schemas.openxmlformats.org/officeDocument/2006/relationships/hyperlink" Target="https://www.youtube.com/watch?v=LMu4Eie6n50" TargetMode="External"/></Relationships>
</file>

<file path=xl/worksheets/_rels/sheet8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youtube.com/watch?v=TiwMrkwpM-I" TargetMode="External"/><Relationship Id="rId42" Type="http://schemas.openxmlformats.org/officeDocument/2006/relationships/hyperlink" Target="https://www.youtube.com/watch?v=MckzFb98bIk" TargetMode="External"/><Relationship Id="rId41" Type="http://schemas.openxmlformats.org/officeDocument/2006/relationships/hyperlink" Target="https://www.youtube.com/watch?v=PKye6VZe09A" TargetMode="External"/><Relationship Id="rId44" Type="http://schemas.openxmlformats.org/officeDocument/2006/relationships/hyperlink" Target="https://www.youtube.com/watch?v=AXAN6r0WY4I" TargetMode="External"/><Relationship Id="rId43" Type="http://schemas.openxmlformats.org/officeDocument/2006/relationships/hyperlink" Target="https://www.youtube.com/watch?v=PFpxm53WVFk" TargetMode="External"/><Relationship Id="rId45" Type="http://schemas.openxmlformats.org/officeDocument/2006/relationships/drawing" Target="../drawings/drawing8.xml"/><Relationship Id="rId48" Type="http://schemas.openxmlformats.org/officeDocument/2006/relationships/table" Target="../tables/table10.xml"/><Relationship Id="rId49" Type="http://schemas.openxmlformats.org/officeDocument/2006/relationships/table" Target="../tables/table11.xml"/><Relationship Id="rId31" Type="http://schemas.openxmlformats.org/officeDocument/2006/relationships/hyperlink" Target="https://www.youtube.com/watch?v=-1S6lYTKnOk" TargetMode="External"/><Relationship Id="rId30" Type="http://schemas.openxmlformats.org/officeDocument/2006/relationships/hyperlink" Target="https://www.youtube.com/watch?v=r1rjwYOjczc" TargetMode="External"/><Relationship Id="rId33" Type="http://schemas.openxmlformats.org/officeDocument/2006/relationships/hyperlink" Target="https://www.youtube.com/watch?v=FRXQoViAoEs" TargetMode="External"/><Relationship Id="rId32" Type="http://schemas.openxmlformats.org/officeDocument/2006/relationships/hyperlink" Target="https://www.youtube.com/watch?v=ZHrJF1_aPjs" TargetMode="External"/><Relationship Id="rId35" Type="http://schemas.openxmlformats.org/officeDocument/2006/relationships/hyperlink" Target="https://www.youtube.com/watch?v=P20TUKF6iBs" TargetMode="External"/><Relationship Id="rId34" Type="http://schemas.openxmlformats.org/officeDocument/2006/relationships/hyperlink" Target="https://www.youtube.com/watch?v=9hrp8mCiq-U" TargetMode="External"/><Relationship Id="rId37" Type="http://schemas.openxmlformats.org/officeDocument/2006/relationships/hyperlink" Target="https://www.youtube.com/watch?v=Gg-Ldax0yWk" TargetMode="External"/><Relationship Id="rId36" Type="http://schemas.openxmlformats.org/officeDocument/2006/relationships/hyperlink" Target="https://www.youtube.com/watch?v=oM3_mV6B24w" TargetMode="External"/><Relationship Id="rId39" Type="http://schemas.openxmlformats.org/officeDocument/2006/relationships/hyperlink" Target="https://www.youtube.com/watch?v=CzhEgiHyF24" TargetMode="External"/><Relationship Id="rId38" Type="http://schemas.openxmlformats.org/officeDocument/2006/relationships/hyperlink" Target="https://www.youtube.com/watch?v=u8f7tzrYcQI" TargetMode="External"/><Relationship Id="rId20" Type="http://schemas.openxmlformats.org/officeDocument/2006/relationships/hyperlink" Target="https://www.youtube.com/watch?v=0FGWH60pFuM" TargetMode="External"/><Relationship Id="rId22" Type="http://schemas.openxmlformats.org/officeDocument/2006/relationships/hyperlink" Target="https://www.youtube.com/watch?v=3UGB7IovHW0" TargetMode="External"/><Relationship Id="rId21" Type="http://schemas.openxmlformats.org/officeDocument/2006/relationships/hyperlink" Target="https://www.youtube.com/watch?v=hctYf2REf6k" TargetMode="External"/><Relationship Id="rId24" Type="http://schemas.openxmlformats.org/officeDocument/2006/relationships/hyperlink" Target="https://www.youtube.com/watch?v=j-zLN0kudzg" TargetMode="External"/><Relationship Id="rId23" Type="http://schemas.openxmlformats.org/officeDocument/2006/relationships/hyperlink" Target="https://www.youtube.com/watch?v=TkqXtUicrTs" TargetMode="External"/><Relationship Id="rId26" Type="http://schemas.openxmlformats.org/officeDocument/2006/relationships/hyperlink" Target="https://www.youtube.com/watch?v=U4Kpht2gZAQ" TargetMode="External"/><Relationship Id="rId25" Type="http://schemas.openxmlformats.org/officeDocument/2006/relationships/hyperlink" Target="https://www.youtube.com/watch?v=X9FrHnSmwyw" TargetMode="External"/><Relationship Id="rId28" Type="http://schemas.openxmlformats.org/officeDocument/2006/relationships/hyperlink" Target="https://www.youtube.com/watch?v=2g2DGSpzInk" TargetMode="External"/><Relationship Id="rId27" Type="http://schemas.openxmlformats.org/officeDocument/2006/relationships/hyperlink" Target="https://www.youtube.com/watch?v=aVShF63zcUs" TargetMode="External"/><Relationship Id="rId29" Type="http://schemas.openxmlformats.org/officeDocument/2006/relationships/hyperlink" Target="https://www.youtube.com/watch?v=2JN6BZEIC6k" TargetMode="External"/><Relationship Id="rId11" Type="http://schemas.openxmlformats.org/officeDocument/2006/relationships/hyperlink" Target="https://www.youtube.com/watch?v=XKfs7Am4Y6s" TargetMode="External"/><Relationship Id="rId10" Type="http://schemas.openxmlformats.org/officeDocument/2006/relationships/hyperlink" Target="https://www.youtube.com/watch?v=S0-DP55DKno" TargetMode="External"/><Relationship Id="rId13" Type="http://schemas.openxmlformats.org/officeDocument/2006/relationships/hyperlink" Target="https://www.youtube.com/watch?v=qslsC6FHqM4" TargetMode="External"/><Relationship Id="rId12" Type="http://schemas.openxmlformats.org/officeDocument/2006/relationships/hyperlink" Target="https://www.youtube.com/watch?v=6WIPz8Ujqbo" TargetMode="External"/><Relationship Id="rId15" Type="http://schemas.openxmlformats.org/officeDocument/2006/relationships/hyperlink" Target="https://www.youtube.com/watch?v=C9wr58lNmbA" TargetMode="External"/><Relationship Id="rId14" Type="http://schemas.openxmlformats.org/officeDocument/2006/relationships/hyperlink" Target="https://www.youtube.com/watch?v=kntfmOCUgaY" TargetMode="External"/><Relationship Id="rId17" Type="http://schemas.openxmlformats.org/officeDocument/2006/relationships/hyperlink" Target="https://www.youtube.com/watch?v=zw3r7vSk6pU" TargetMode="External"/><Relationship Id="rId16" Type="http://schemas.openxmlformats.org/officeDocument/2006/relationships/hyperlink" Target="https://www.youtube.com/watch?v=QPhLyb3cqGE" TargetMode="External"/><Relationship Id="rId19" Type="http://schemas.openxmlformats.org/officeDocument/2006/relationships/hyperlink" Target="https://www.youtube.com/watch?v=Kq9Wnt4-Ybc" TargetMode="External"/><Relationship Id="rId18" Type="http://schemas.openxmlformats.org/officeDocument/2006/relationships/hyperlink" Target="https://www.youtube.com/watch?v=PV_oBf1u7Jg" TargetMode="External"/><Relationship Id="rId1" Type="http://schemas.openxmlformats.org/officeDocument/2006/relationships/hyperlink" Target="https://www.youtube.com/watch?v=NLwW8WSjpwQ" TargetMode="External"/><Relationship Id="rId2" Type="http://schemas.openxmlformats.org/officeDocument/2006/relationships/hyperlink" Target="https://www.youtube.com/watch?v=y_og7DfCD8o" TargetMode="External"/><Relationship Id="rId3" Type="http://schemas.openxmlformats.org/officeDocument/2006/relationships/hyperlink" Target="https://www.youtube.com/watch?v=nZhGjUqvN3E" TargetMode="External"/><Relationship Id="rId4" Type="http://schemas.openxmlformats.org/officeDocument/2006/relationships/hyperlink" Target="https://www.youtube.com/watch?v=pnsh6Kn6fD4" TargetMode="External"/><Relationship Id="rId9" Type="http://schemas.openxmlformats.org/officeDocument/2006/relationships/hyperlink" Target="https://www.youtube.com/watch?v=HUQOTj2Jy8o" TargetMode="External"/><Relationship Id="rId5" Type="http://schemas.openxmlformats.org/officeDocument/2006/relationships/hyperlink" Target="https://www.youtube.com/watch?v=c_NhOdZ-2Lw" TargetMode="External"/><Relationship Id="rId6" Type="http://schemas.openxmlformats.org/officeDocument/2006/relationships/hyperlink" Target="https://www.youtube.com/watch?v=1FQx2uq6f3s" TargetMode="External"/><Relationship Id="rId7" Type="http://schemas.openxmlformats.org/officeDocument/2006/relationships/hyperlink" Target="https://www.youtube.com/watch?v=dsr5yG0G6zA" TargetMode="External"/><Relationship Id="rId8" Type="http://schemas.openxmlformats.org/officeDocument/2006/relationships/hyperlink" Target="https://www.youtube.com/watch?v=kiO_mqNEPa0" TargetMode="External"/></Relationships>
</file>

<file path=xl/worksheets/_rels/sheet9.xml.rels><?xml version="1.0" encoding="UTF-8" standalone="yes"?><Relationships xmlns="http://schemas.openxmlformats.org/package/2006/relationships"><Relationship Id="rId31" Type="http://schemas.openxmlformats.org/officeDocument/2006/relationships/hyperlink" Target="https://youtu.be/ejw7IOYzYtM?si=YAXwYSVb4woAwQyE" TargetMode="External"/><Relationship Id="rId30" Type="http://schemas.openxmlformats.org/officeDocument/2006/relationships/hyperlink" Target="https://youtu.be/S9ickSoVpOI?si=DiSBWRK8br2e4sOU" TargetMode="External"/><Relationship Id="rId32" Type="http://schemas.openxmlformats.org/officeDocument/2006/relationships/drawing" Target="../drawings/drawing9.xml"/><Relationship Id="rId37" Type="http://schemas.openxmlformats.org/officeDocument/2006/relationships/table" Target="../tables/table13.xml"/><Relationship Id="rId36" Type="http://schemas.openxmlformats.org/officeDocument/2006/relationships/table" Target="../tables/table12.xml"/><Relationship Id="rId38" Type="http://schemas.openxmlformats.org/officeDocument/2006/relationships/table" Target="../tables/table14.xml"/><Relationship Id="rId20" Type="http://schemas.openxmlformats.org/officeDocument/2006/relationships/hyperlink" Target="https://www.youtube.com/watch?v=-B57at2MvSM" TargetMode="External"/><Relationship Id="rId22" Type="http://schemas.openxmlformats.org/officeDocument/2006/relationships/hyperlink" Target="https://www.youtube.com/watch?v=ZOpl-Lz-9LM" TargetMode="External"/><Relationship Id="rId21" Type="http://schemas.openxmlformats.org/officeDocument/2006/relationships/hyperlink" Target="https://www.youtube.com/watch?v=cdFTDcS7NwE" TargetMode="External"/><Relationship Id="rId24" Type="http://schemas.openxmlformats.org/officeDocument/2006/relationships/hyperlink" Target="https://www.youtube.com/watch?v=Av-tGWbcWiA" TargetMode="External"/><Relationship Id="rId23" Type="http://schemas.openxmlformats.org/officeDocument/2006/relationships/hyperlink" Target="https://www.youtube.com/watch?v=imrZeN-_TUE" TargetMode="External"/><Relationship Id="rId26" Type="http://schemas.openxmlformats.org/officeDocument/2006/relationships/hyperlink" Target="https://www.youtube.com/watch?v=xoitixnGeqU" TargetMode="External"/><Relationship Id="rId25" Type="http://schemas.openxmlformats.org/officeDocument/2006/relationships/hyperlink" Target="https://www.youtube.com/watch?v=DrD7kQf_5t4" TargetMode="External"/><Relationship Id="rId28" Type="http://schemas.openxmlformats.org/officeDocument/2006/relationships/hyperlink" Target="https://www.youtube.com/watch?v=tFNwBC5G78o" TargetMode="External"/><Relationship Id="rId27" Type="http://schemas.openxmlformats.org/officeDocument/2006/relationships/hyperlink" Target="https://www.youtube.com/watch?v=B0WxccWDXvo" TargetMode="External"/><Relationship Id="rId29" Type="http://schemas.openxmlformats.org/officeDocument/2006/relationships/hyperlink" Target="https://youtu.be/kW9Q25ZWCA4?si=UT43BswKvy_R208u" TargetMode="External"/><Relationship Id="rId11" Type="http://schemas.openxmlformats.org/officeDocument/2006/relationships/hyperlink" Target="https://www.youtube.com/watch?v=d5g7l2IlLgg" TargetMode="External"/><Relationship Id="rId10" Type="http://schemas.openxmlformats.org/officeDocument/2006/relationships/hyperlink" Target="https://www.youtube.com/watch?v=RjZHLD3Y62Y" TargetMode="External"/><Relationship Id="rId13" Type="http://schemas.openxmlformats.org/officeDocument/2006/relationships/hyperlink" Target="https://youtu.be/dVghuky3IU4?si=z5dB6tsh6cGL-uhW" TargetMode="External"/><Relationship Id="rId12" Type="http://schemas.openxmlformats.org/officeDocument/2006/relationships/hyperlink" Target="https://www.youtube.com/watch?v=650D8048um4" TargetMode="External"/><Relationship Id="rId15" Type="http://schemas.openxmlformats.org/officeDocument/2006/relationships/hyperlink" Target="https://www.youtube.com/watch?v=siiPvnQJ3X4" TargetMode="External"/><Relationship Id="rId14" Type="http://schemas.openxmlformats.org/officeDocument/2006/relationships/hyperlink" Target="https://www.youtube.com/watch?v=HQMcVSlDrvM" TargetMode="External"/><Relationship Id="rId17" Type="http://schemas.openxmlformats.org/officeDocument/2006/relationships/hyperlink" Target="https://www.youtube.com/watch?v=Y3ZJXxTnf4Q" TargetMode="External"/><Relationship Id="rId16" Type="http://schemas.openxmlformats.org/officeDocument/2006/relationships/hyperlink" Target="https://www.youtube.com/watch?v=E2YrfHerniM" TargetMode="External"/><Relationship Id="rId19" Type="http://schemas.openxmlformats.org/officeDocument/2006/relationships/hyperlink" Target="https://www.youtube.com/watch?v=mL_NFtjr9dE" TargetMode="External"/><Relationship Id="rId18" Type="http://schemas.openxmlformats.org/officeDocument/2006/relationships/hyperlink" Target="https://www.youtube.com/watch?v=dWqaB04vFnI" TargetMode="External"/><Relationship Id="rId1" Type="http://schemas.openxmlformats.org/officeDocument/2006/relationships/hyperlink" Target="https://www.youtube.com/watch?v=bgXkjA-HE48" TargetMode="External"/><Relationship Id="rId2" Type="http://schemas.openxmlformats.org/officeDocument/2006/relationships/hyperlink" Target="https://www.youtube.com/watch?v=0dXFHSLRCJQ" TargetMode="External"/><Relationship Id="rId3" Type="http://schemas.openxmlformats.org/officeDocument/2006/relationships/hyperlink" Target="https://www.youtube.com/watch?v=bUdwtn5MJNM" TargetMode="External"/><Relationship Id="rId4" Type="http://schemas.openxmlformats.org/officeDocument/2006/relationships/hyperlink" Target="https://www.youtube.com/watch?v=6ookmYFfBe4" TargetMode="External"/><Relationship Id="rId9" Type="http://schemas.openxmlformats.org/officeDocument/2006/relationships/hyperlink" Target="https://www.youtube.com/watch?v=thRjZcTgViQ" TargetMode="External"/><Relationship Id="rId5" Type="http://schemas.openxmlformats.org/officeDocument/2006/relationships/hyperlink" Target="https://www.youtube.com/watch?v=tm4k1VjMaTs" TargetMode="External"/><Relationship Id="rId6" Type="http://schemas.openxmlformats.org/officeDocument/2006/relationships/hyperlink" Target="https://www.youtube.com/watch?v=wZCgCMHru0k" TargetMode="External"/><Relationship Id="rId7" Type="http://schemas.openxmlformats.org/officeDocument/2006/relationships/hyperlink" Target="https://www.youtube.com/watch?v=SOsNtuMysVs" TargetMode="External"/><Relationship Id="rId8" Type="http://schemas.openxmlformats.org/officeDocument/2006/relationships/hyperlink" Target="https://www.youtube.com/watch?v=fkabXNIQ9rQ" TargetMode="External"/></Relationships>
</file>

<file path=xl/worksheets/_rels/sheet10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youtube.com/watch?v=qGh1FP3D7T0" TargetMode="External"/><Relationship Id="rId42" Type="http://schemas.openxmlformats.org/officeDocument/2006/relationships/hyperlink" Target="https://www.youtube.com/watch?v=Vgc11jluxbQ" TargetMode="External"/><Relationship Id="rId41" Type="http://schemas.openxmlformats.org/officeDocument/2006/relationships/hyperlink" Target="https://www.youtube.com/watch?v=AXyst4aEFZg" TargetMode="External"/><Relationship Id="rId44" Type="http://schemas.openxmlformats.org/officeDocument/2006/relationships/hyperlink" Target="https://www.youtube.com/watch?v=mfCK9OWq474" TargetMode="External"/><Relationship Id="rId43" Type="http://schemas.openxmlformats.org/officeDocument/2006/relationships/hyperlink" Target="https://www.youtube.com/watch?v=90mF7gUm0Vc" TargetMode="External"/><Relationship Id="rId45" Type="http://schemas.openxmlformats.org/officeDocument/2006/relationships/drawing" Target="../drawings/drawing10.xml"/><Relationship Id="rId31" Type="http://schemas.openxmlformats.org/officeDocument/2006/relationships/hyperlink" Target="https://www.youtube.com/watch?v=oZYeD4JWPyQ" TargetMode="External"/><Relationship Id="rId30" Type="http://schemas.openxmlformats.org/officeDocument/2006/relationships/hyperlink" Target="https://www.youtube.com/watch?v=lAtBgu5s6Lw" TargetMode="External"/><Relationship Id="rId33" Type="http://schemas.openxmlformats.org/officeDocument/2006/relationships/hyperlink" Target="https://www.youtube.com/watch?v=s9AvRUeksQE" TargetMode="External"/><Relationship Id="rId32" Type="http://schemas.openxmlformats.org/officeDocument/2006/relationships/hyperlink" Target="https://www.youtube.com/watch?v=41Qd77ibOiY" TargetMode="External"/><Relationship Id="rId35" Type="http://schemas.openxmlformats.org/officeDocument/2006/relationships/hyperlink" Target="https://www.youtube.com/watch?v=fpkbjMXPlgY" TargetMode="External"/><Relationship Id="rId34" Type="http://schemas.openxmlformats.org/officeDocument/2006/relationships/hyperlink" Target="https://www.youtube.com/watch?v=assqrLbOFLg" TargetMode="External"/><Relationship Id="rId37" Type="http://schemas.openxmlformats.org/officeDocument/2006/relationships/hyperlink" Target="https://www.youtube.com/watch?v=zPFurtWQAoQ" TargetMode="External"/><Relationship Id="rId36" Type="http://schemas.openxmlformats.org/officeDocument/2006/relationships/hyperlink" Target="https://www.youtube.com/watch?v=j9W-9nKBrU0" TargetMode="External"/><Relationship Id="rId39" Type="http://schemas.openxmlformats.org/officeDocument/2006/relationships/hyperlink" Target="https://www.youtube.com/watch?v=-nVuiTjIzqs" TargetMode="External"/><Relationship Id="rId38" Type="http://schemas.openxmlformats.org/officeDocument/2006/relationships/hyperlink" Target="https://www.youtube.com/watch?v=DQTY1f1nlos" TargetMode="External"/><Relationship Id="rId20" Type="http://schemas.openxmlformats.org/officeDocument/2006/relationships/hyperlink" Target="https://www.youtube.com/watch?v=FaxMHzGoYBA" TargetMode="External"/><Relationship Id="rId22" Type="http://schemas.openxmlformats.org/officeDocument/2006/relationships/hyperlink" Target="https://www.youtube.com/watch?v=et3rpgF7RRY" TargetMode="External"/><Relationship Id="rId21" Type="http://schemas.openxmlformats.org/officeDocument/2006/relationships/hyperlink" Target="https://www.youtube.com/watch?v=MaIjltvzKZA" TargetMode="External"/><Relationship Id="rId24" Type="http://schemas.openxmlformats.org/officeDocument/2006/relationships/hyperlink" Target="https://www.youtube.com/watch?v=aJZn4GNEw8g" TargetMode="External"/><Relationship Id="rId23" Type="http://schemas.openxmlformats.org/officeDocument/2006/relationships/hyperlink" Target="https://www.youtube.com/watch?v=5iV2kikzo8Q" TargetMode="External"/><Relationship Id="rId26" Type="http://schemas.openxmlformats.org/officeDocument/2006/relationships/hyperlink" Target="https://www.youtube.com/watch?v=uVgATUq4eNQ" TargetMode="External"/><Relationship Id="rId25" Type="http://schemas.openxmlformats.org/officeDocument/2006/relationships/hyperlink" Target="https://www.youtube.com/watch?v=ofBUalNIjCc" TargetMode="External"/><Relationship Id="rId28" Type="http://schemas.openxmlformats.org/officeDocument/2006/relationships/hyperlink" Target="https://www.youtube.com/watch?v=BE2_W30DnXA" TargetMode="External"/><Relationship Id="rId27" Type="http://schemas.openxmlformats.org/officeDocument/2006/relationships/hyperlink" Target="https://www.youtube.com/watch?v=hUu70jpYvxk" TargetMode="External"/><Relationship Id="rId29" Type="http://schemas.openxmlformats.org/officeDocument/2006/relationships/hyperlink" Target="https://www.youtube.com/watch?v=CgK2ETuzGRM" TargetMode="External"/><Relationship Id="rId11" Type="http://schemas.openxmlformats.org/officeDocument/2006/relationships/hyperlink" Target="https://www.youtube.com/watch?v=b_GLlrRi4y4" TargetMode="External"/><Relationship Id="rId10" Type="http://schemas.openxmlformats.org/officeDocument/2006/relationships/hyperlink" Target="https://www.youtube.com/watch?v=a6AF3i3mUUY" TargetMode="External"/><Relationship Id="rId13" Type="http://schemas.openxmlformats.org/officeDocument/2006/relationships/hyperlink" Target="https://www.youtube.com/watch?v=EmHNM-kdtSE" TargetMode="External"/><Relationship Id="rId12" Type="http://schemas.openxmlformats.org/officeDocument/2006/relationships/hyperlink" Target="https://www.youtube.com/watch?v=lxP7Sdxkm8M" TargetMode="External"/><Relationship Id="rId15" Type="http://schemas.openxmlformats.org/officeDocument/2006/relationships/hyperlink" Target="https://www.youtube.com/watch?v=OKeFEGeZvFU" TargetMode="External"/><Relationship Id="rId14" Type="http://schemas.openxmlformats.org/officeDocument/2006/relationships/hyperlink" Target="https://www.youtube.com/watch?v=ZoNSg5-EZ0o" TargetMode="External"/><Relationship Id="rId17" Type="http://schemas.openxmlformats.org/officeDocument/2006/relationships/hyperlink" Target="https://www.youtube.com/watch?v=DHH8K5kzmLM" TargetMode="External"/><Relationship Id="rId16" Type="http://schemas.openxmlformats.org/officeDocument/2006/relationships/hyperlink" Target="https://www.youtube.com/watch?v=ScQlJIAJnFQ" TargetMode="External"/><Relationship Id="rId19" Type="http://schemas.openxmlformats.org/officeDocument/2006/relationships/hyperlink" Target="https://www.youtube.com/watch?v=Nzp1OSonylQ" TargetMode="External"/><Relationship Id="rId18" Type="http://schemas.openxmlformats.org/officeDocument/2006/relationships/hyperlink" Target="https://www.youtube.com/watch?v=UamLcnY7Vkg" TargetMode="External"/><Relationship Id="rId1" Type="http://schemas.openxmlformats.org/officeDocument/2006/relationships/hyperlink" Target="https://www.youtube.com/watch?v=T9LqW5m0K4U" TargetMode="External"/><Relationship Id="rId2" Type="http://schemas.openxmlformats.org/officeDocument/2006/relationships/hyperlink" Target="https://www.youtube.com/watch?v=MmoxzLIzAas" TargetMode="External"/><Relationship Id="rId3" Type="http://schemas.openxmlformats.org/officeDocument/2006/relationships/hyperlink" Target="https://www.youtube.com/watch?v=JFqfXk67D_0" TargetMode="External"/><Relationship Id="rId4" Type="http://schemas.openxmlformats.org/officeDocument/2006/relationships/hyperlink" Target="https://www.youtube.com/watch?v=4IO1SO43nfg" TargetMode="External"/><Relationship Id="rId9" Type="http://schemas.openxmlformats.org/officeDocument/2006/relationships/hyperlink" Target="https://www.youtube.com/watch?v=VJ2g3HSYK6E" TargetMode="External"/><Relationship Id="rId5" Type="http://schemas.openxmlformats.org/officeDocument/2006/relationships/hyperlink" Target="https://www.youtube.com/watch?v=1Of2oh_V1uc" TargetMode="External"/><Relationship Id="rId6" Type="http://schemas.openxmlformats.org/officeDocument/2006/relationships/hyperlink" Target="https://www.youtube.com/watch?v=7rOdP6Y_WXo" TargetMode="External"/><Relationship Id="rId7" Type="http://schemas.openxmlformats.org/officeDocument/2006/relationships/hyperlink" Target="https://www.youtube.com/watch?v=Ns7h-YLQ3wk" TargetMode="External"/><Relationship Id="rId8" Type="http://schemas.openxmlformats.org/officeDocument/2006/relationships/hyperlink" Target="https://www.youtube.com/watch?v=rz-b9rjSgV0" TargetMode="External"/><Relationship Id="rId51" Type="http://schemas.openxmlformats.org/officeDocument/2006/relationships/table" Target="../tables/table16.xml"/><Relationship Id="rId50" Type="http://schemas.openxmlformats.org/officeDocument/2006/relationships/table" Target="../tables/table15.xml"/><Relationship Id="rId53" Type="http://schemas.openxmlformats.org/officeDocument/2006/relationships/table" Target="../tables/table18.xml"/><Relationship Id="rId52" Type="http://schemas.openxmlformats.org/officeDocument/2006/relationships/table" Target="../tables/table17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youtube.com/watch?v=f78P_l3VIT0" TargetMode="External"/><Relationship Id="rId22" Type="http://schemas.openxmlformats.org/officeDocument/2006/relationships/hyperlink" Target="https://www.youtube.com/watch?v=mCpqq71l4Ds" TargetMode="External"/><Relationship Id="rId21" Type="http://schemas.openxmlformats.org/officeDocument/2006/relationships/hyperlink" Target="https://www.youtube.com/watch?v=4dabjAqyAWU" TargetMode="External"/><Relationship Id="rId24" Type="http://schemas.openxmlformats.org/officeDocument/2006/relationships/hyperlink" Target="https://www.youtube.com/watch?v=5ZLDLDve9NA" TargetMode="External"/><Relationship Id="rId23" Type="http://schemas.openxmlformats.org/officeDocument/2006/relationships/hyperlink" Target="https://www.youtube.com/watch?v=uxdd97o5Frc" TargetMode="External"/><Relationship Id="rId26" Type="http://schemas.openxmlformats.org/officeDocument/2006/relationships/hyperlink" Target="https://www.youtube.com/watch?v=HyB4dp_KkQI" TargetMode="External"/><Relationship Id="rId25" Type="http://schemas.openxmlformats.org/officeDocument/2006/relationships/hyperlink" Target="https://www.youtube.com/watch?v=ktIpUA7wTSY" TargetMode="External"/><Relationship Id="rId27" Type="http://schemas.openxmlformats.org/officeDocument/2006/relationships/drawing" Target="../drawings/drawing12.xml"/><Relationship Id="rId29" Type="http://schemas.openxmlformats.org/officeDocument/2006/relationships/table" Target="../tables/table19.xml"/><Relationship Id="rId11" Type="http://schemas.openxmlformats.org/officeDocument/2006/relationships/hyperlink" Target="https://www.youtube.com/watch?v=aJ5dJFVncP4" TargetMode="External"/><Relationship Id="rId10" Type="http://schemas.openxmlformats.org/officeDocument/2006/relationships/hyperlink" Target="https://www.youtube.com/watch?v=l-QdRhGg9js" TargetMode="External"/><Relationship Id="rId13" Type="http://schemas.openxmlformats.org/officeDocument/2006/relationships/hyperlink" Target="https://www.youtube.com/watch?v=8JoAk2ji29w" TargetMode="External"/><Relationship Id="rId12" Type="http://schemas.openxmlformats.org/officeDocument/2006/relationships/hyperlink" Target="https://www.youtube.com/watch?v=Fs0rTpS-R6k" TargetMode="External"/><Relationship Id="rId15" Type="http://schemas.openxmlformats.org/officeDocument/2006/relationships/hyperlink" Target="https://www.youtube.com/watch?v=JNVHliZYDIY" TargetMode="External"/><Relationship Id="rId14" Type="http://schemas.openxmlformats.org/officeDocument/2006/relationships/hyperlink" Target="https://www.youtube.com/watch?v=uGSAh-xDXy8" TargetMode="External"/><Relationship Id="rId17" Type="http://schemas.openxmlformats.org/officeDocument/2006/relationships/hyperlink" Target="https://www.youtube.com/watch?v=0KWry7MT0Lo" TargetMode="External"/><Relationship Id="rId16" Type="http://schemas.openxmlformats.org/officeDocument/2006/relationships/hyperlink" Target="https://www.youtube.com/watch?v=QQD4auRVxyQ" TargetMode="External"/><Relationship Id="rId19" Type="http://schemas.openxmlformats.org/officeDocument/2006/relationships/hyperlink" Target="https://www.youtube.com/watch?v=FNGzwpUXe1E" TargetMode="External"/><Relationship Id="rId18" Type="http://schemas.openxmlformats.org/officeDocument/2006/relationships/hyperlink" Target="https://www.youtube.com/watch?v=-IUBcyHWEK4" TargetMode="External"/><Relationship Id="rId1" Type="http://schemas.openxmlformats.org/officeDocument/2006/relationships/hyperlink" Target="https://www.youtube.com/watch?v=oBjQqBDzyd0" TargetMode="External"/><Relationship Id="rId2" Type="http://schemas.openxmlformats.org/officeDocument/2006/relationships/hyperlink" Target="https://www.youtube.com/watch?v=uF9eREYVf2k" TargetMode="External"/><Relationship Id="rId3" Type="http://schemas.openxmlformats.org/officeDocument/2006/relationships/hyperlink" Target="https://www.youtube.com/watch?v=VqILIoLOoNE" TargetMode="External"/><Relationship Id="rId4" Type="http://schemas.openxmlformats.org/officeDocument/2006/relationships/hyperlink" Target="https://www.youtube.com/watch?v=Gm8OrDVy3D4" TargetMode="External"/><Relationship Id="rId9" Type="http://schemas.openxmlformats.org/officeDocument/2006/relationships/hyperlink" Target="https://www.youtube.com/watch?v=RGm8vi38dvI" TargetMode="External"/><Relationship Id="rId5" Type="http://schemas.openxmlformats.org/officeDocument/2006/relationships/hyperlink" Target="https://www.youtube.com/watch?v=IvNQ3-8VMUA" TargetMode="External"/><Relationship Id="rId6" Type="http://schemas.openxmlformats.org/officeDocument/2006/relationships/hyperlink" Target="https://www.youtube.com/watch?v=EZDIO6mF6Co" TargetMode="External"/><Relationship Id="rId7" Type="http://schemas.openxmlformats.org/officeDocument/2006/relationships/hyperlink" Target="https://www.youtube.com/watch?v=c3Y5isrhSVo" TargetMode="External"/><Relationship Id="rId8" Type="http://schemas.openxmlformats.org/officeDocument/2006/relationships/hyperlink" Target="https://www.youtube.com/watch?v=aTqhC0vUBSI" TargetMode="External"/></Relationships>
</file>

<file path=xl/worksheets/_rels/sheet13.xml.rels><?xml version="1.0" encoding="UTF-8" standalone="yes"?><Relationships xmlns="http://schemas.openxmlformats.org/package/2006/relationships"><Relationship Id="rId11" Type="http://schemas.openxmlformats.org/officeDocument/2006/relationships/hyperlink" Target="https://www.youtube.com/watch?v=GvuhiiXmVRI" TargetMode="External"/><Relationship Id="rId10" Type="http://schemas.openxmlformats.org/officeDocument/2006/relationships/hyperlink" Target="https://www.youtube.com/watch?v=BjWeOaHar1I" TargetMode="External"/><Relationship Id="rId13" Type="http://schemas.openxmlformats.org/officeDocument/2006/relationships/hyperlink" Target="https://www.youtube.com/watch?v=oQtULD1yxBc" TargetMode="External"/><Relationship Id="rId12" Type="http://schemas.openxmlformats.org/officeDocument/2006/relationships/hyperlink" Target="https://www.youtube.com/watch?v=DkbVF1QaaDA" TargetMode="External"/><Relationship Id="rId15" Type="http://schemas.openxmlformats.org/officeDocument/2006/relationships/hyperlink" Target="https://www.youtube.com/watch?v=xbRzIhF14LY" TargetMode="External"/><Relationship Id="rId14" Type="http://schemas.openxmlformats.org/officeDocument/2006/relationships/hyperlink" Target="https://www.youtube.com/watch?v=Gc1E5grjt6c" TargetMode="External"/><Relationship Id="rId16" Type="http://schemas.openxmlformats.org/officeDocument/2006/relationships/drawing" Target="../drawings/drawing13.xml"/><Relationship Id="rId18" Type="http://schemas.openxmlformats.org/officeDocument/2006/relationships/table" Target="../tables/table20.xml"/><Relationship Id="rId1" Type="http://schemas.openxmlformats.org/officeDocument/2006/relationships/hyperlink" Target="https://www.youtube.com/watch?v=N_CYTuxNjgU" TargetMode="External"/><Relationship Id="rId2" Type="http://schemas.openxmlformats.org/officeDocument/2006/relationships/hyperlink" Target="https://www.youtube.com/watch?v=38TCl9Beyew" TargetMode="External"/><Relationship Id="rId3" Type="http://schemas.openxmlformats.org/officeDocument/2006/relationships/hyperlink" Target="https://www.youtube.com/watch?v=k8KXpXGj9eM" TargetMode="External"/><Relationship Id="rId4" Type="http://schemas.openxmlformats.org/officeDocument/2006/relationships/hyperlink" Target="https://www.youtube.com/watch?v=pb8M9OdZvCE" TargetMode="External"/><Relationship Id="rId9" Type="http://schemas.openxmlformats.org/officeDocument/2006/relationships/hyperlink" Target="https://www.youtube.com/watch?v=UyqcoOCKCGU" TargetMode="External"/><Relationship Id="rId5" Type="http://schemas.openxmlformats.org/officeDocument/2006/relationships/hyperlink" Target="https://www.youtube.com/watch?v=xalSLPS5xmA" TargetMode="External"/><Relationship Id="rId6" Type="http://schemas.openxmlformats.org/officeDocument/2006/relationships/hyperlink" Target="https://www.youtube.com/watch?v=7SdKpOq9cTE" TargetMode="External"/><Relationship Id="rId7" Type="http://schemas.openxmlformats.org/officeDocument/2006/relationships/hyperlink" Target="https://www.youtube.com/watch?v=GU6SXbph82Y" TargetMode="External"/><Relationship Id="rId8" Type="http://schemas.openxmlformats.org/officeDocument/2006/relationships/hyperlink" Target="https://www.youtube.com/watch?v=JiEi6zd2xl8" TargetMode="Externa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.75"/>
    <col customWidth="1" min="2" max="2" width="46.38"/>
    <col customWidth="1" min="3" max="3" width="21.0"/>
    <col customWidth="1" min="4" max="4" width="12.63"/>
    <col customWidth="1" min="5" max="5" width="5.25"/>
    <col customWidth="1" min="6" max="6" width="39.25"/>
    <col customWidth="1" min="7" max="7" width="7.0"/>
    <col customWidth="1" min="8" max="8" width="2.75"/>
    <col customWidth="1" min="9" max="9" width="15.13"/>
    <col customWidth="1" min="10" max="10" width="12.63"/>
    <col customWidth="1" min="11" max="11" width="19.75"/>
  </cols>
  <sheetData>
    <row r="1">
      <c r="A1" s="26"/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</row>
    <row r="2">
      <c r="A2" s="26"/>
      <c r="B2" s="28" t="s">
        <v>23</v>
      </c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</row>
    <row r="3">
      <c r="A3" s="26"/>
      <c r="B3" s="26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</row>
    <row r="4">
      <c r="A4" s="26"/>
      <c r="C4" s="26"/>
      <c r="D4" s="26"/>
      <c r="E4" s="26"/>
      <c r="F4" s="30" t="s">
        <v>25</v>
      </c>
      <c r="G4" s="26"/>
      <c r="H4" s="26"/>
      <c r="I4" s="26"/>
      <c r="J4" s="26"/>
      <c r="K4" s="26"/>
      <c r="L4" s="26"/>
      <c r="M4" s="26"/>
      <c r="N4" s="26"/>
      <c r="O4" s="26"/>
      <c r="P4" s="26"/>
    </row>
    <row r="5">
      <c r="A5" s="26"/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</row>
    <row r="6">
      <c r="A6" s="26"/>
      <c r="B6" s="26"/>
      <c r="C6" s="26"/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/>
    </row>
    <row r="7">
      <c r="A7" s="26"/>
      <c r="B7" s="32" t="s">
        <v>2</v>
      </c>
      <c r="C7" s="32" t="s">
        <v>27</v>
      </c>
      <c r="D7" s="32" t="s">
        <v>28</v>
      </c>
      <c r="E7" s="32" t="s">
        <v>29</v>
      </c>
      <c r="F7" s="34" t="s">
        <v>30</v>
      </c>
      <c r="G7" s="30" t="s">
        <v>31</v>
      </c>
      <c r="H7" s="26"/>
      <c r="I7" s="35" t="s">
        <v>32</v>
      </c>
      <c r="J7" s="26"/>
      <c r="K7" s="36" t="s">
        <v>11</v>
      </c>
      <c r="L7" s="40" t="str">
        <f>IFERROR(__xludf.DUMMYFUNCTION("SPARKLINE(I8, {""charttype"",""bar"";""max"",1;""color1"",""#4CAF50""})"),"")</f>
        <v/>
      </c>
      <c r="N7" s="41" t="s">
        <v>34</v>
      </c>
      <c r="O7" s="43" t="s">
        <v>35</v>
      </c>
      <c r="P7" s="26"/>
    </row>
    <row r="8">
      <c r="A8" s="26"/>
      <c r="B8" s="44">
        <v>1.0</v>
      </c>
      <c r="C8" s="44" t="s">
        <v>36</v>
      </c>
      <c r="D8" s="45"/>
      <c r="E8" s="47"/>
      <c r="F8" s="49" t="s">
        <v>38</v>
      </c>
      <c r="G8" s="26"/>
      <c r="H8" s="26"/>
      <c r="I8" s="50">
        <f t="shared" ref="I8:I9" si="1">L8/$L$10</f>
        <v>0</v>
      </c>
      <c r="J8" s="26"/>
      <c r="K8" s="51" t="s">
        <v>4</v>
      </c>
      <c r="L8" s="52">
        <f>COUNTIF(C8:C17, "Completed")</f>
        <v>0</v>
      </c>
      <c r="N8" s="53">
        <f>DATE(2026, 7, 1)</f>
        <v>46204</v>
      </c>
      <c r="O8" s="54">
        <f t="shared" ref="O8:O13" si="2">COUNTIFS($D$8:$D$17, "&gt;="&amp;N8, $D$8:$D$17, "&lt;="&amp;EOMONTH(N8, 0), $C$8:$C$17, "Completed")</f>
        <v>0</v>
      </c>
      <c r="P8" s="26"/>
    </row>
    <row r="9">
      <c r="A9" s="26"/>
      <c r="B9" s="44">
        <v>2.0</v>
      </c>
      <c r="C9" s="44" t="s">
        <v>36</v>
      </c>
      <c r="D9" s="45"/>
      <c r="E9" s="47"/>
      <c r="F9" s="49" t="s">
        <v>42</v>
      </c>
      <c r="G9" s="26"/>
      <c r="H9" s="26"/>
      <c r="I9" s="50">
        <f t="shared" si="1"/>
        <v>1</v>
      </c>
      <c r="J9" s="26"/>
      <c r="K9" s="51" t="s">
        <v>36</v>
      </c>
      <c r="L9" s="52">
        <f>COUNTIF(C8:C17, "Pending")</f>
        <v>9</v>
      </c>
      <c r="N9" s="53">
        <f>DATE(2026, 8, 1)</f>
        <v>46235</v>
      </c>
      <c r="O9" s="54">
        <f t="shared" si="2"/>
        <v>0</v>
      </c>
      <c r="P9" s="26"/>
    </row>
    <row r="10">
      <c r="A10" s="26"/>
      <c r="B10" s="44">
        <v>3.0</v>
      </c>
      <c r="C10" s="44" t="s">
        <v>36</v>
      </c>
      <c r="D10" s="45"/>
      <c r="E10" s="47"/>
      <c r="F10" s="49" t="s">
        <v>46</v>
      </c>
      <c r="G10" s="26"/>
      <c r="H10" s="26"/>
      <c r="I10" s="26"/>
      <c r="J10" s="26"/>
      <c r="K10" s="51" t="s">
        <v>49</v>
      </c>
      <c r="L10" s="52">
        <f>COUNT(B8:B17)</f>
        <v>9</v>
      </c>
      <c r="M10" s="56"/>
      <c r="N10" s="53">
        <f>DATE(2026, 9, 1)</f>
        <v>46266</v>
      </c>
      <c r="O10" s="54">
        <f t="shared" si="2"/>
        <v>0</v>
      </c>
      <c r="P10" s="26"/>
    </row>
    <row r="11">
      <c r="A11" s="26"/>
      <c r="B11" s="44">
        <v>4.0</v>
      </c>
      <c r="C11" s="44" t="s">
        <v>36</v>
      </c>
      <c r="D11" s="45"/>
      <c r="E11" s="47"/>
      <c r="F11" s="49" t="s">
        <v>52</v>
      </c>
      <c r="G11" s="26"/>
      <c r="H11" s="26"/>
      <c r="I11" s="26"/>
      <c r="J11" s="26"/>
      <c r="K11" s="51" t="s">
        <v>53</v>
      </c>
      <c r="L11" s="58">
        <f>SUM(G8:G17)</f>
        <v>0</v>
      </c>
      <c r="M11" s="56"/>
      <c r="N11" s="53">
        <f>DATE(2026, 10, 1)</f>
        <v>46296</v>
      </c>
      <c r="O11" s="54">
        <f t="shared" si="2"/>
        <v>0</v>
      </c>
      <c r="P11" s="26"/>
    </row>
    <row r="12">
      <c r="A12" s="26"/>
      <c r="B12" s="44">
        <v>5.0</v>
      </c>
      <c r="C12" s="44" t="s">
        <v>36</v>
      </c>
      <c r="D12" s="45"/>
      <c r="E12" s="47"/>
      <c r="F12" s="49" t="s">
        <v>57</v>
      </c>
      <c r="G12" s="26"/>
      <c r="H12" s="26"/>
      <c r="I12" s="26"/>
      <c r="J12" s="26"/>
      <c r="K12" s="51" t="s">
        <v>58</v>
      </c>
      <c r="L12" s="58">
        <f>SUMIF(C8:C17, "Pending", G8:G17)</f>
        <v>0</v>
      </c>
      <c r="M12" s="56"/>
      <c r="N12" s="53">
        <f>DATE(2026, 11, 1)</f>
        <v>46327</v>
      </c>
      <c r="O12" s="54">
        <f t="shared" si="2"/>
        <v>0</v>
      </c>
      <c r="P12" s="26"/>
    </row>
    <row r="13">
      <c r="A13" s="26"/>
      <c r="B13" s="44">
        <v>6.0</v>
      </c>
      <c r="C13" s="44" t="s">
        <v>36</v>
      </c>
      <c r="D13" s="45"/>
      <c r="E13" s="47"/>
      <c r="F13" s="49" t="s">
        <v>61</v>
      </c>
      <c r="G13" s="26"/>
      <c r="H13" s="26"/>
      <c r="I13" s="26"/>
      <c r="J13" s="26"/>
      <c r="K13" s="51" t="s">
        <v>7</v>
      </c>
      <c r="L13" s="61"/>
      <c r="M13" s="56"/>
      <c r="N13" s="53">
        <f>DATE(2026, 12, 1)</f>
        <v>46357</v>
      </c>
      <c r="O13" s="54">
        <f t="shared" si="2"/>
        <v>0</v>
      </c>
      <c r="P13" s="26"/>
    </row>
    <row r="14">
      <c r="A14" s="26"/>
      <c r="B14" s="44">
        <v>7.0</v>
      </c>
      <c r="C14" s="44" t="s">
        <v>36</v>
      </c>
      <c r="D14" s="45"/>
      <c r="E14" s="47"/>
      <c r="F14" s="49" t="s">
        <v>64</v>
      </c>
      <c r="G14" s="26"/>
      <c r="H14" s="26"/>
      <c r="I14" s="26"/>
      <c r="J14" s="26"/>
      <c r="K14" s="51" t="s">
        <v>67</v>
      </c>
      <c r="L14" s="61"/>
      <c r="M14" s="56"/>
      <c r="N14" s="66"/>
      <c r="O14" s="26"/>
      <c r="P14" s="26"/>
    </row>
    <row r="15">
      <c r="A15" s="26"/>
      <c r="B15" s="44">
        <v>8.0</v>
      </c>
      <c r="C15" s="44" t="s">
        <v>36</v>
      </c>
      <c r="D15" s="45"/>
      <c r="E15" s="47"/>
      <c r="F15" s="49" t="s">
        <v>69</v>
      </c>
      <c r="G15" s="26"/>
      <c r="H15" s="26"/>
      <c r="I15" s="26"/>
      <c r="J15" s="26"/>
      <c r="K15" s="56"/>
      <c r="L15" s="56"/>
      <c r="M15" s="56"/>
      <c r="N15" s="66"/>
      <c r="O15" s="26"/>
      <c r="P15" s="26"/>
    </row>
    <row r="16">
      <c r="A16" s="26"/>
      <c r="B16" s="44">
        <v>9.0</v>
      </c>
      <c r="C16" s="44" t="s">
        <v>36</v>
      </c>
      <c r="D16" s="45"/>
      <c r="E16" s="47"/>
      <c r="F16" s="49" t="s">
        <v>71</v>
      </c>
      <c r="G16" s="26"/>
      <c r="H16" s="26"/>
      <c r="I16" s="26"/>
      <c r="J16" s="26"/>
      <c r="K16" s="67" t="s">
        <v>73</v>
      </c>
      <c r="L16" s="67" t="s">
        <v>4</v>
      </c>
      <c r="M16" s="67" t="s">
        <v>36</v>
      </c>
      <c r="N16" s="66"/>
      <c r="O16" s="26"/>
      <c r="P16" s="26"/>
    </row>
    <row r="17">
      <c r="A17" s="26"/>
      <c r="B17" s="44"/>
      <c r="C17" s="44"/>
      <c r="D17" s="45"/>
      <c r="E17" s="47"/>
      <c r="F17" s="68"/>
      <c r="G17" s="26"/>
      <c r="H17" s="26"/>
      <c r="I17" s="26"/>
      <c r="J17" s="26"/>
      <c r="K17" s="67" t="s">
        <v>75</v>
      </c>
      <c r="L17" s="69">
        <f>L8</f>
        <v>0</v>
      </c>
      <c r="M17" s="69">
        <f>L9</f>
        <v>9</v>
      </c>
      <c r="N17" s="66"/>
      <c r="O17" s="26"/>
      <c r="P17" s="26"/>
    </row>
  </sheetData>
  <conditionalFormatting sqref="C8:C17">
    <cfRule type="cellIs" dxfId="5" priority="1" stopIfTrue="1" operator="equal">
      <formula>"Completed"</formula>
    </cfRule>
  </conditionalFormatting>
  <conditionalFormatting sqref="C8:C17">
    <cfRule type="cellIs" dxfId="6" priority="2" stopIfTrue="1" operator="equal">
      <formula>"Pending"</formula>
    </cfRule>
  </conditionalFormatting>
  <conditionalFormatting sqref="C8:C17">
    <cfRule type="cellIs" dxfId="7" priority="3" stopIfTrue="1" operator="equal">
      <formula>"Revisit"</formula>
    </cfRule>
  </conditionalFormatting>
  <dataValidations>
    <dataValidation type="list" allowBlank="1" showErrorMessage="1" sqref="C8:C17">
      <formula1>"Completed,Pending"</formula1>
    </dataValidation>
    <dataValidation type="custom" allowBlank="1" showErrorMessage="1" sqref="D8:D17">
      <formula1>OR(NOT(ISERROR(DATEVALUE(D8))), AND(ISNUMBER(D8), LEFT(CELL("format", D8))="D"))</formula1>
    </dataValidation>
  </dataValidations>
  <hyperlinks>
    <hyperlink r:id="rId1" ref="F8"/>
    <hyperlink r:id="rId2" ref="F9"/>
    <hyperlink r:id="rId3" ref="F10"/>
    <hyperlink r:id="rId4" ref="F11"/>
    <hyperlink r:id="rId5" ref="F12"/>
    <hyperlink r:id="rId6" ref="F13"/>
    <hyperlink r:id="rId7" ref="F14"/>
    <hyperlink r:id="rId8" ref="F15"/>
    <hyperlink r:id="rId9" ref="F16"/>
  </hyperlinks>
  <drawing r:id="rId10"/>
  <tableParts count="1">
    <tablePart r:id="rId1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.75"/>
    <col customWidth="1" min="2" max="2" width="46.38"/>
    <col customWidth="1" min="3" max="3" width="21.0"/>
    <col customWidth="1" min="4" max="4" width="12.63"/>
    <col customWidth="1" min="5" max="5" width="5.25"/>
    <col customWidth="1" min="6" max="6" width="39.25"/>
    <col customWidth="1" min="7" max="7" width="7.0"/>
    <col customWidth="1" min="8" max="8" width="2.75"/>
    <col customWidth="1" min="9" max="9" width="15.13"/>
    <col customWidth="1" min="10" max="10" width="12.63"/>
    <col customWidth="1" min="11" max="11" width="19.75"/>
  </cols>
  <sheetData>
    <row r="1">
      <c r="A1" s="26"/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</row>
    <row r="2">
      <c r="A2" s="26"/>
      <c r="B2" s="29" t="s">
        <v>24</v>
      </c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</row>
    <row r="3">
      <c r="A3" s="26"/>
      <c r="B3" s="26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</row>
    <row r="4">
      <c r="A4" s="26"/>
      <c r="C4" s="26"/>
      <c r="D4" s="26"/>
      <c r="E4" s="26"/>
      <c r="F4" s="30" t="s">
        <v>25</v>
      </c>
      <c r="G4" s="26"/>
      <c r="H4" s="26"/>
      <c r="I4" s="26"/>
      <c r="J4" s="26"/>
      <c r="K4" s="26"/>
      <c r="L4" s="26"/>
      <c r="M4" s="26"/>
      <c r="N4" s="26"/>
      <c r="O4" s="26"/>
      <c r="P4" s="26"/>
    </row>
    <row r="5">
      <c r="A5" s="26"/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</row>
    <row r="6">
      <c r="A6" s="26"/>
      <c r="B6" s="26"/>
      <c r="C6" s="26"/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/>
    </row>
    <row r="7">
      <c r="A7" s="26"/>
      <c r="B7" s="32" t="s">
        <v>2</v>
      </c>
      <c r="C7" s="32" t="s">
        <v>27</v>
      </c>
      <c r="D7" s="32" t="s">
        <v>28</v>
      </c>
      <c r="E7" s="32" t="s">
        <v>29</v>
      </c>
      <c r="F7" s="34" t="s">
        <v>30</v>
      </c>
      <c r="G7" s="30" t="s">
        <v>31</v>
      </c>
      <c r="H7" s="26"/>
      <c r="I7" s="35" t="s">
        <v>32</v>
      </c>
      <c r="J7" s="26"/>
      <c r="K7" s="36" t="s">
        <v>11</v>
      </c>
      <c r="L7" s="40" t="str">
        <f>IFERROR(__xludf.DUMMYFUNCTION("SPARKLINE(I8, {""charttype"",""bar"";""max"",1;""color1"",""#4CAF50""})"),"")</f>
        <v/>
      </c>
      <c r="N7" s="41" t="s">
        <v>34</v>
      </c>
      <c r="O7" s="43" t="s">
        <v>35</v>
      </c>
      <c r="P7" s="26"/>
    </row>
    <row r="8">
      <c r="A8" s="26"/>
      <c r="B8" s="44">
        <v>1.0</v>
      </c>
      <c r="C8" s="44" t="s">
        <v>4</v>
      </c>
      <c r="D8" s="45">
        <v>46246.0</v>
      </c>
      <c r="E8" s="47"/>
      <c r="F8" s="49" t="s">
        <v>37</v>
      </c>
      <c r="G8" s="26"/>
      <c r="H8" s="26"/>
      <c r="I8" s="50">
        <f t="shared" ref="I8:I9" si="1">L8/$L$10</f>
        <v>0.1860465116</v>
      </c>
      <c r="J8" s="26"/>
      <c r="K8" s="51" t="s">
        <v>4</v>
      </c>
      <c r="L8" s="52">
        <f>COUNTIF(C8:C50, "Completed")</f>
        <v>8</v>
      </c>
      <c r="N8" s="53">
        <f>DATE(2026, 7, 1)</f>
        <v>46204</v>
      </c>
      <c r="O8" s="54">
        <f t="shared" ref="O8:O13" si="2">COUNTIFS($D$8:$D$33, "&gt;="&amp;N8, $D$8:$D$33, "&lt;="&amp;EOMONTH(N8, 0), $C$8:$C$33, "Completed")</f>
        <v>0</v>
      </c>
      <c r="P8" s="26"/>
    </row>
    <row r="9">
      <c r="A9" s="26"/>
      <c r="B9" s="44">
        <v>2.0</v>
      </c>
      <c r="C9" s="44" t="s">
        <v>4</v>
      </c>
      <c r="D9" s="45">
        <v>46247.0</v>
      </c>
      <c r="E9" s="47"/>
      <c r="F9" s="49" t="s">
        <v>43</v>
      </c>
      <c r="G9" s="26"/>
      <c r="H9" s="26"/>
      <c r="I9" s="50">
        <f t="shared" si="1"/>
        <v>0.8139534884</v>
      </c>
      <c r="J9" s="26"/>
      <c r="K9" s="51" t="s">
        <v>36</v>
      </c>
      <c r="L9" s="52">
        <f>COUNTIF(C8:C50, "Pending")</f>
        <v>35</v>
      </c>
      <c r="N9" s="53">
        <f>DATE(2026, 8, 1)</f>
        <v>46235</v>
      </c>
      <c r="O9" s="54">
        <f t="shared" si="2"/>
        <v>8</v>
      </c>
      <c r="P9" s="26"/>
    </row>
    <row r="10">
      <c r="A10" s="26"/>
      <c r="B10" s="44">
        <v>3.0</v>
      </c>
      <c r="C10" s="44" t="s">
        <v>4</v>
      </c>
      <c r="D10" s="45">
        <v>46248.0</v>
      </c>
      <c r="E10" s="47"/>
      <c r="F10" s="49" t="s">
        <v>47</v>
      </c>
      <c r="G10" s="26"/>
      <c r="H10" s="26"/>
      <c r="I10" s="26"/>
      <c r="J10" s="26"/>
      <c r="K10" s="51" t="s">
        <v>49</v>
      </c>
      <c r="L10" s="52">
        <f>COUNT(B8:B50)</f>
        <v>43</v>
      </c>
      <c r="M10" s="56"/>
      <c r="N10" s="53">
        <f>DATE(2026, 9, 1)</f>
        <v>46266</v>
      </c>
      <c r="O10" s="54">
        <f t="shared" si="2"/>
        <v>0</v>
      </c>
      <c r="P10" s="26"/>
    </row>
    <row r="11">
      <c r="A11" s="26"/>
      <c r="B11" s="44">
        <v>4.0</v>
      </c>
      <c r="C11" s="44" t="s">
        <v>4</v>
      </c>
      <c r="D11" s="45">
        <v>46249.0</v>
      </c>
      <c r="E11" s="47"/>
      <c r="F11" s="49" t="s">
        <v>51</v>
      </c>
      <c r="G11" s="26"/>
      <c r="H11" s="26"/>
      <c r="I11" s="26"/>
      <c r="J11" s="26"/>
      <c r="K11" s="51" t="s">
        <v>53</v>
      </c>
      <c r="L11" s="58">
        <f>SUM(G8:G50)</f>
        <v>0</v>
      </c>
      <c r="M11" s="56"/>
      <c r="N11" s="53">
        <f>DATE(2026, 10, 1)</f>
        <v>46296</v>
      </c>
      <c r="O11" s="54">
        <f t="shared" si="2"/>
        <v>0</v>
      </c>
      <c r="P11" s="26"/>
    </row>
    <row r="12">
      <c r="A12" s="26"/>
      <c r="B12" s="44">
        <v>5.0</v>
      </c>
      <c r="C12" s="44" t="s">
        <v>4</v>
      </c>
      <c r="D12" s="45">
        <v>46250.0</v>
      </c>
      <c r="E12" s="47"/>
      <c r="F12" s="49" t="s">
        <v>56</v>
      </c>
      <c r="G12" s="26"/>
      <c r="H12" s="26"/>
      <c r="I12" s="26"/>
      <c r="J12" s="26"/>
      <c r="K12" s="51" t="s">
        <v>58</v>
      </c>
      <c r="L12" s="58">
        <f>SUMIF(C8:C50, "Pending", G8:G50)</f>
        <v>0</v>
      </c>
      <c r="M12" s="56"/>
      <c r="N12" s="53">
        <f>DATE(2026, 11, 1)</f>
        <v>46327</v>
      </c>
      <c r="O12" s="54">
        <f t="shared" si="2"/>
        <v>0</v>
      </c>
      <c r="P12" s="26"/>
    </row>
    <row r="13">
      <c r="A13" s="26"/>
      <c r="B13" s="44">
        <v>6.0</v>
      </c>
      <c r="C13" s="44" t="s">
        <v>4</v>
      </c>
      <c r="D13" s="45">
        <v>46251.0</v>
      </c>
      <c r="E13" s="47"/>
      <c r="F13" s="49" t="s">
        <v>62</v>
      </c>
      <c r="G13" s="26"/>
      <c r="H13" s="26"/>
      <c r="I13" s="26"/>
      <c r="J13" s="26"/>
      <c r="K13" s="51" t="s">
        <v>7</v>
      </c>
      <c r="L13" s="61"/>
      <c r="M13" s="56"/>
      <c r="N13" s="53">
        <f>DATE(2026, 12, 1)</f>
        <v>46357</v>
      </c>
      <c r="O13" s="54">
        <f t="shared" si="2"/>
        <v>0</v>
      </c>
      <c r="P13" s="26"/>
    </row>
    <row r="14">
      <c r="A14" s="26"/>
      <c r="B14" s="44">
        <v>7.0</v>
      </c>
      <c r="C14" s="44" t="s">
        <v>4</v>
      </c>
      <c r="D14" s="45">
        <v>46252.0</v>
      </c>
      <c r="E14" s="47"/>
      <c r="F14" s="49" t="s">
        <v>65</v>
      </c>
      <c r="G14" s="26"/>
      <c r="H14" s="26"/>
      <c r="I14" s="26"/>
      <c r="J14" s="26"/>
      <c r="K14" s="51" t="s">
        <v>67</v>
      </c>
      <c r="L14" s="61"/>
      <c r="M14" s="56"/>
      <c r="N14" s="66"/>
      <c r="O14" s="26"/>
      <c r="P14" s="26"/>
    </row>
    <row r="15">
      <c r="A15" s="26"/>
      <c r="B15" s="44">
        <v>8.0</v>
      </c>
      <c r="C15" s="44" t="s">
        <v>4</v>
      </c>
      <c r="D15" s="45">
        <v>46253.0</v>
      </c>
      <c r="E15" s="47"/>
      <c r="F15" s="49" t="s">
        <v>68</v>
      </c>
      <c r="G15" s="26"/>
      <c r="H15" s="26"/>
      <c r="I15" s="26"/>
      <c r="J15" s="26"/>
      <c r="K15" s="56"/>
      <c r="L15" s="56"/>
      <c r="M15" s="56"/>
      <c r="N15" s="66"/>
      <c r="O15" s="26"/>
      <c r="P15" s="26"/>
    </row>
    <row r="16">
      <c r="A16" s="26"/>
      <c r="B16" s="44">
        <v>9.0</v>
      </c>
      <c r="C16" s="44" t="s">
        <v>36</v>
      </c>
      <c r="D16" s="45"/>
      <c r="E16" s="47"/>
      <c r="F16" s="49" t="s">
        <v>70</v>
      </c>
      <c r="G16" s="26"/>
      <c r="H16" s="26"/>
      <c r="I16" s="26"/>
      <c r="J16" s="26"/>
      <c r="K16" s="67" t="s">
        <v>73</v>
      </c>
      <c r="L16" s="67" t="s">
        <v>4</v>
      </c>
      <c r="M16" s="67" t="s">
        <v>36</v>
      </c>
      <c r="N16" s="66"/>
      <c r="O16" s="26"/>
      <c r="P16" s="26"/>
    </row>
    <row r="17">
      <c r="A17" s="26"/>
      <c r="B17" s="44">
        <v>10.0</v>
      </c>
      <c r="C17" s="44" t="s">
        <v>36</v>
      </c>
      <c r="D17" s="45"/>
      <c r="E17" s="47"/>
      <c r="F17" s="49" t="s">
        <v>74</v>
      </c>
      <c r="G17" s="26"/>
      <c r="H17" s="26"/>
      <c r="I17" s="26"/>
      <c r="J17" s="26"/>
      <c r="K17" s="67" t="s">
        <v>75</v>
      </c>
      <c r="L17" s="69">
        <f>L8</f>
        <v>8</v>
      </c>
      <c r="M17" s="69">
        <f>L9</f>
        <v>35</v>
      </c>
      <c r="N17" s="66"/>
      <c r="O17" s="26"/>
      <c r="P17" s="26"/>
    </row>
    <row r="18">
      <c r="A18" s="26"/>
      <c r="B18" s="44">
        <v>11.0</v>
      </c>
      <c r="C18" s="44" t="s">
        <v>36</v>
      </c>
      <c r="D18" s="45"/>
      <c r="E18" s="47"/>
      <c r="F18" s="49" t="s">
        <v>77</v>
      </c>
      <c r="G18" s="26"/>
      <c r="H18" s="26"/>
      <c r="I18" s="26"/>
      <c r="J18" s="26"/>
      <c r="K18" s="26"/>
      <c r="L18" s="26"/>
      <c r="M18" s="26"/>
      <c r="N18" s="70"/>
      <c r="O18" s="26"/>
      <c r="P18" s="26"/>
    </row>
    <row r="19">
      <c r="A19" s="26"/>
      <c r="B19" s="44">
        <v>12.0</v>
      </c>
      <c r="C19" s="44" t="s">
        <v>36</v>
      </c>
      <c r="D19" s="45"/>
      <c r="E19" s="47"/>
      <c r="F19" s="49" t="s">
        <v>79</v>
      </c>
      <c r="G19" s="26"/>
      <c r="H19" s="26"/>
      <c r="I19" s="26"/>
      <c r="J19" s="26"/>
      <c r="K19" s="26"/>
      <c r="L19" s="26"/>
      <c r="M19" s="26"/>
      <c r="N19" s="70"/>
      <c r="O19" s="26"/>
      <c r="P19" s="26"/>
    </row>
    <row r="20">
      <c r="A20" s="26"/>
      <c r="B20" s="44">
        <v>13.0</v>
      </c>
      <c r="C20" s="44" t="s">
        <v>36</v>
      </c>
      <c r="D20" s="45"/>
      <c r="E20" s="47"/>
      <c r="F20" s="49" t="s">
        <v>81</v>
      </c>
      <c r="G20" s="26"/>
      <c r="H20" s="26"/>
      <c r="I20" s="26"/>
      <c r="J20" s="26"/>
      <c r="K20" s="26"/>
      <c r="L20" s="26"/>
      <c r="M20" s="26"/>
      <c r="N20" s="70"/>
      <c r="O20" s="26"/>
      <c r="P20" s="26"/>
    </row>
    <row r="21">
      <c r="A21" s="26"/>
      <c r="B21" s="44">
        <v>14.0</v>
      </c>
      <c r="C21" s="44" t="s">
        <v>36</v>
      </c>
      <c r="D21" s="45"/>
      <c r="E21" s="47"/>
      <c r="F21" s="49" t="s">
        <v>82</v>
      </c>
      <c r="G21" s="26"/>
      <c r="H21" s="26"/>
      <c r="I21" s="26"/>
      <c r="J21" s="26"/>
      <c r="K21" s="26"/>
      <c r="L21" s="26"/>
      <c r="M21" s="26"/>
      <c r="N21" s="70"/>
      <c r="O21" s="26"/>
      <c r="P21" s="26"/>
    </row>
    <row r="22">
      <c r="A22" s="26"/>
      <c r="B22" s="44">
        <v>15.0</v>
      </c>
      <c r="C22" s="44" t="s">
        <v>36</v>
      </c>
      <c r="D22" s="45"/>
      <c r="E22" s="47"/>
      <c r="F22" s="49" t="s">
        <v>84</v>
      </c>
      <c r="G22" s="26"/>
      <c r="H22" s="26"/>
      <c r="I22" s="26"/>
      <c r="J22" s="26"/>
      <c r="K22" s="26"/>
      <c r="L22" s="26"/>
      <c r="M22" s="26"/>
      <c r="N22" s="70"/>
      <c r="O22" s="26"/>
      <c r="P22" s="26"/>
    </row>
    <row r="23">
      <c r="A23" s="26"/>
      <c r="B23" s="44">
        <v>16.0</v>
      </c>
      <c r="C23" s="44" t="s">
        <v>36</v>
      </c>
      <c r="D23" s="45"/>
      <c r="E23" s="47"/>
      <c r="F23" s="49" t="s">
        <v>85</v>
      </c>
      <c r="G23" s="26"/>
      <c r="H23" s="26"/>
      <c r="I23" s="26"/>
      <c r="J23" s="26"/>
      <c r="K23" s="26"/>
      <c r="L23" s="26"/>
      <c r="M23" s="26"/>
      <c r="N23" s="70"/>
      <c r="O23" s="26"/>
      <c r="P23" s="26"/>
    </row>
    <row r="24">
      <c r="A24" s="26"/>
      <c r="B24" s="44">
        <v>17.0</v>
      </c>
      <c r="C24" s="44" t="s">
        <v>36</v>
      </c>
      <c r="D24" s="45"/>
      <c r="E24" s="47"/>
      <c r="F24" s="49" t="s">
        <v>87</v>
      </c>
      <c r="G24" s="26"/>
      <c r="H24" s="26"/>
      <c r="I24" s="26"/>
      <c r="J24" s="26"/>
      <c r="K24" s="26"/>
      <c r="L24" s="26"/>
      <c r="M24" s="26"/>
      <c r="N24" s="70"/>
      <c r="O24" s="26"/>
      <c r="P24" s="26"/>
    </row>
    <row r="25">
      <c r="A25" s="26"/>
      <c r="B25" s="44">
        <v>18.0</v>
      </c>
      <c r="C25" s="44" t="s">
        <v>36</v>
      </c>
      <c r="D25" s="45"/>
      <c r="E25" s="47"/>
      <c r="F25" s="49" t="s">
        <v>89</v>
      </c>
      <c r="G25" s="26"/>
      <c r="H25" s="26"/>
      <c r="I25" s="26"/>
      <c r="J25" s="26"/>
      <c r="K25" s="26"/>
      <c r="L25" s="26"/>
      <c r="M25" s="26"/>
      <c r="N25" s="70"/>
      <c r="O25" s="26"/>
      <c r="P25" s="26"/>
    </row>
    <row r="26">
      <c r="A26" s="26"/>
      <c r="B26" s="44">
        <v>19.0</v>
      </c>
      <c r="C26" s="44" t="s">
        <v>36</v>
      </c>
      <c r="D26" s="45"/>
      <c r="E26" s="47"/>
      <c r="F26" s="49" t="s">
        <v>91</v>
      </c>
      <c r="G26" s="26"/>
      <c r="H26" s="26"/>
      <c r="I26" s="26"/>
      <c r="J26" s="26"/>
      <c r="K26" s="26"/>
      <c r="L26" s="26"/>
      <c r="M26" s="26"/>
      <c r="N26" s="70"/>
      <c r="O26" s="26"/>
      <c r="P26" s="26"/>
    </row>
    <row r="27">
      <c r="A27" s="26"/>
      <c r="B27" s="44">
        <v>20.0</v>
      </c>
      <c r="C27" s="44" t="s">
        <v>36</v>
      </c>
      <c r="D27" s="45"/>
      <c r="E27" s="47"/>
      <c r="F27" s="49" t="s">
        <v>93</v>
      </c>
      <c r="G27" s="26"/>
      <c r="H27" s="26"/>
      <c r="I27" s="26"/>
      <c r="J27" s="26"/>
      <c r="K27" s="26"/>
      <c r="L27" s="26"/>
      <c r="M27" s="26"/>
      <c r="N27" s="70"/>
      <c r="O27" s="26"/>
      <c r="P27" s="26"/>
    </row>
    <row r="28">
      <c r="A28" s="26"/>
      <c r="B28" s="44">
        <v>21.0</v>
      </c>
      <c r="C28" s="44" t="s">
        <v>36</v>
      </c>
      <c r="D28" s="45"/>
      <c r="E28" s="47"/>
      <c r="F28" s="49" t="s">
        <v>94</v>
      </c>
      <c r="G28" s="26"/>
      <c r="H28" s="26"/>
      <c r="I28" s="26"/>
      <c r="J28" s="26"/>
      <c r="K28" s="26"/>
      <c r="L28" s="26"/>
      <c r="M28" s="26"/>
      <c r="N28" s="70"/>
      <c r="O28" s="26"/>
      <c r="P28" s="26"/>
    </row>
    <row r="29">
      <c r="A29" s="26"/>
      <c r="B29" s="44">
        <v>22.0</v>
      </c>
      <c r="C29" s="44" t="s">
        <v>36</v>
      </c>
      <c r="D29" s="45"/>
      <c r="E29" s="47"/>
      <c r="F29" s="49" t="s">
        <v>96</v>
      </c>
      <c r="G29" s="26"/>
      <c r="H29" s="26"/>
      <c r="I29" s="26"/>
      <c r="J29" s="26"/>
      <c r="K29" s="26"/>
      <c r="L29" s="26"/>
      <c r="M29" s="26"/>
      <c r="N29" s="70"/>
      <c r="O29" s="26"/>
      <c r="P29" s="26"/>
    </row>
    <row r="30">
      <c r="A30" s="26"/>
      <c r="B30" s="44">
        <v>23.0</v>
      </c>
      <c r="C30" s="44" t="s">
        <v>36</v>
      </c>
      <c r="D30" s="45"/>
      <c r="E30" s="47"/>
      <c r="F30" s="49" t="s">
        <v>98</v>
      </c>
      <c r="G30" s="26"/>
      <c r="H30" s="26"/>
      <c r="I30" s="26"/>
      <c r="J30" s="26"/>
      <c r="K30" s="26"/>
      <c r="L30" s="26"/>
      <c r="M30" s="26"/>
      <c r="N30" s="70"/>
      <c r="O30" s="26"/>
      <c r="P30" s="26"/>
    </row>
    <row r="31">
      <c r="A31" s="26"/>
      <c r="B31" s="44">
        <v>24.0</v>
      </c>
      <c r="C31" s="44" t="s">
        <v>36</v>
      </c>
      <c r="D31" s="45"/>
      <c r="E31" s="47"/>
      <c r="F31" s="49" t="s">
        <v>100</v>
      </c>
      <c r="G31" s="26"/>
      <c r="H31" s="26"/>
      <c r="I31" s="26"/>
      <c r="J31" s="26"/>
      <c r="K31" s="26"/>
      <c r="L31" s="26"/>
      <c r="M31" s="26"/>
      <c r="N31" s="70"/>
      <c r="O31" s="26"/>
      <c r="P31" s="26"/>
    </row>
    <row r="32">
      <c r="A32" s="26"/>
      <c r="B32" s="44">
        <v>25.0</v>
      </c>
      <c r="C32" s="44" t="s">
        <v>36</v>
      </c>
      <c r="D32" s="45"/>
      <c r="E32" s="47"/>
      <c r="F32" s="49" t="s">
        <v>102</v>
      </c>
      <c r="G32" s="26"/>
      <c r="H32" s="26"/>
      <c r="I32" s="26"/>
      <c r="J32" s="26"/>
      <c r="K32" s="26"/>
      <c r="L32" s="26"/>
      <c r="M32" s="26"/>
      <c r="N32" s="70"/>
      <c r="O32" s="26"/>
      <c r="P32" s="26"/>
    </row>
    <row r="33">
      <c r="A33" s="26"/>
      <c r="B33" s="44">
        <v>26.0</v>
      </c>
      <c r="C33" s="44" t="s">
        <v>36</v>
      </c>
      <c r="D33" s="45"/>
      <c r="E33" s="47"/>
      <c r="F33" s="49" t="s">
        <v>103</v>
      </c>
      <c r="G33" s="26"/>
      <c r="H33" s="26"/>
      <c r="I33" s="26"/>
      <c r="J33" s="26"/>
      <c r="K33" s="26"/>
      <c r="L33" s="26"/>
      <c r="M33" s="26"/>
      <c r="N33" s="70"/>
      <c r="O33" s="26"/>
      <c r="P33" s="26"/>
    </row>
    <row r="34">
      <c r="A34" s="26"/>
      <c r="B34" s="44">
        <v>27.0</v>
      </c>
      <c r="C34" s="44" t="s">
        <v>36</v>
      </c>
      <c r="D34" s="45"/>
      <c r="E34" s="47"/>
      <c r="F34" s="49" t="s">
        <v>104</v>
      </c>
      <c r="G34" s="26"/>
      <c r="H34" s="26"/>
      <c r="I34" s="26"/>
      <c r="J34" s="26"/>
      <c r="K34" s="26"/>
      <c r="L34" s="26"/>
      <c r="M34" s="26"/>
      <c r="N34" s="70"/>
      <c r="O34" s="26"/>
      <c r="P34" s="26"/>
    </row>
    <row r="35">
      <c r="A35" s="26"/>
      <c r="B35" s="44">
        <v>28.0</v>
      </c>
      <c r="C35" s="44" t="s">
        <v>36</v>
      </c>
      <c r="D35" s="45"/>
      <c r="E35" s="47"/>
      <c r="F35" s="49" t="s">
        <v>106</v>
      </c>
      <c r="G35" s="26"/>
      <c r="H35" s="26"/>
      <c r="I35" s="26"/>
      <c r="J35" s="26"/>
      <c r="K35" s="26"/>
      <c r="L35" s="26"/>
      <c r="M35" s="26"/>
      <c r="N35" s="70"/>
      <c r="O35" s="26"/>
      <c r="P35" s="26"/>
    </row>
    <row r="36">
      <c r="A36" s="26"/>
      <c r="B36" s="44">
        <v>29.0</v>
      </c>
      <c r="C36" s="44" t="s">
        <v>36</v>
      </c>
      <c r="D36" s="45"/>
      <c r="E36" s="47"/>
      <c r="F36" s="49" t="s">
        <v>107</v>
      </c>
      <c r="G36" s="26"/>
      <c r="H36" s="26"/>
      <c r="I36" s="26"/>
      <c r="J36" s="26"/>
      <c r="K36" s="26"/>
      <c r="L36" s="26"/>
      <c r="M36" s="26"/>
      <c r="N36" s="70"/>
      <c r="O36" s="26"/>
      <c r="P36" s="26"/>
    </row>
    <row r="37">
      <c r="A37" s="26"/>
      <c r="B37" s="44">
        <v>30.0</v>
      </c>
      <c r="C37" s="44" t="s">
        <v>36</v>
      </c>
      <c r="D37" s="45"/>
      <c r="E37" s="47"/>
      <c r="F37" s="49" t="s">
        <v>109</v>
      </c>
      <c r="G37" s="26"/>
      <c r="H37" s="26"/>
      <c r="I37" s="26"/>
      <c r="J37" s="26"/>
      <c r="K37" s="26"/>
      <c r="L37" s="26"/>
      <c r="M37" s="26"/>
      <c r="N37" s="70"/>
      <c r="O37" s="26"/>
      <c r="P37" s="26"/>
    </row>
    <row r="38">
      <c r="A38" s="26"/>
      <c r="B38" s="44">
        <v>31.0</v>
      </c>
      <c r="C38" s="44" t="s">
        <v>36</v>
      </c>
      <c r="D38" s="45"/>
      <c r="E38" s="47"/>
      <c r="F38" s="49" t="s">
        <v>110</v>
      </c>
      <c r="G38" s="26"/>
      <c r="H38" s="26"/>
      <c r="I38" s="26"/>
      <c r="J38" s="26"/>
      <c r="K38" s="26"/>
      <c r="L38" s="26"/>
      <c r="M38" s="26"/>
      <c r="N38" s="70"/>
      <c r="O38" s="26"/>
      <c r="P38" s="26"/>
    </row>
    <row r="39">
      <c r="A39" s="26"/>
      <c r="B39" s="44">
        <v>32.0</v>
      </c>
      <c r="C39" s="44" t="s">
        <v>36</v>
      </c>
      <c r="D39" s="45"/>
      <c r="E39" s="47"/>
      <c r="F39" s="49" t="s">
        <v>112</v>
      </c>
      <c r="G39" s="26"/>
      <c r="H39" s="26"/>
      <c r="I39" s="26"/>
      <c r="J39" s="26"/>
      <c r="K39" s="26"/>
      <c r="L39" s="26"/>
      <c r="M39" s="26"/>
      <c r="N39" s="70"/>
      <c r="O39" s="26"/>
      <c r="P39" s="26"/>
    </row>
    <row r="40">
      <c r="A40" s="26"/>
      <c r="B40" s="44">
        <v>33.0</v>
      </c>
      <c r="C40" s="44" t="s">
        <v>36</v>
      </c>
      <c r="D40" s="45"/>
      <c r="E40" s="47"/>
      <c r="F40" s="49" t="s">
        <v>113</v>
      </c>
      <c r="G40" s="26"/>
      <c r="H40" s="26"/>
      <c r="I40" s="26"/>
      <c r="J40" s="26"/>
      <c r="K40" s="26"/>
      <c r="L40" s="26"/>
      <c r="M40" s="26"/>
      <c r="N40" s="70"/>
      <c r="O40" s="26"/>
      <c r="P40" s="26"/>
    </row>
    <row r="41">
      <c r="A41" s="26"/>
      <c r="B41" s="44">
        <v>34.0</v>
      </c>
      <c r="C41" s="44" t="s">
        <v>36</v>
      </c>
      <c r="D41" s="45"/>
      <c r="E41" s="47"/>
      <c r="F41" s="49" t="s">
        <v>115</v>
      </c>
      <c r="G41" s="26"/>
      <c r="H41" s="26"/>
      <c r="I41" s="26"/>
      <c r="J41" s="26"/>
      <c r="K41" s="26"/>
      <c r="L41" s="26"/>
      <c r="M41" s="26"/>
      <c r="N41" s="70"/>
      <c r="O41" s="26"/>
      <c r="P41" s="26"/>
    </row>
    <row r="42">
      <c r="A42" s="26"/>
      <c r="B42" s="44">
        <v>35.0</v>
      </c>
      <c r="C42" s="44" t="s">
        <v>36</v>
      </c>
      <c r="D42" s="45"/>
      <c r="E42" s="47"/>
      <c r="F42" s="49" t="s">
        <v>116</v>
      </c>
      <c r="G42" s="26"/>
      <c r="H42" s="26"/>
      <c r="I42" s="26"/>
      <c r="J42" s="26"/>
      <c r="K42" s="26"/>
      <c r="L42" s="26"/>
      <c r="M42" s="26"/>
      <c r="N42" s="70"/>
      <c r="O42" s="26"/>
      <c r="P42" s="26"/>
    </row>
    <row r="43">
      <c r="A43" s="26"/>
      <c r="B43" s="44">
        <v>36.0</v>
      </c>
      <c r="C43" s="44" t="s">
        <v>36</v>
      </c>
      <c r="D43" s="45"/>
      <c r="E43" s="47"/>
      <c r="F43" s="49" t="s">
        <v>118</v>
      </c>
      <c r="G43" s="26"/>
      <c r="H43" s="26"/>
      <c r="I43" s="26"/>
      <c r="J43" s="26"/>
      <c r="K43" s="26"/>
      <c r="L43" s="26"/>
      <c r="M43" s="26"/>
      <c r="N43" s="70"/>
      <c r="O43" s="26"/>
      <c r="P43" s="26"/>
    </row>
    <row r="44">
      <c r="A44" s="26"/>
      <c r="B44" s="44">
        <v>37.0</v>
      </c>
      <c r="C44" s="44" t="s">
        <v>36</v>
      </c>
      <c r="D44" s="45"/>
      <c r="E44" s="47"/>
      <c r="F44" s="49" t="s">
        <v>119</v>
      </c>
      <c r="G44" s="26"/>
      <c r="H44" s="26"/>
      <c r="I44" s="26"/>
      <c r="J44" s="26"/>
      <c r="K44" s="26"/>
      <c r="L44" s="26"/>
      <c r="M44" s="26"/>
      <c r="N44" s="70"/>
      <c r="O44" s="26"/>
      <c r="P44" s="26"/>
    </row>
    <row r="45">
      <c r="A45" s="26"/>
      <c r="B45" s="44">
        <v>38.0</v>
      </c>
      <c r="C45" s="44" t="s">
        <v>36</v>
      </c>
      <c r="D45" s="45"/>
      <c r="E45" s="47"/>
      <c r="F45" s="49" t="s">
        <v>121</v>
      </c>
      <c r="G45" s="26"/>
      <c r="H45" s="26"/>
      <c r="I45" s="26"/>
      <c r="J45" s="26"/>
      <c r="K45" s="26"/>
      <c r="L45" s="26"/>
      <c r="M45" s="26"/>
      <c r="N45" s="70"/>
      <c r="O45" s="26"/>
      <c r="P45" s="26"/>
    </row>
    <row r="46">
      <c r="A46" s="26"/>
      <c r="B46" s="44">
        <v>39.0</v>
      </c>
      <c r="C46" s="44" t="s">
        <v>36</v>
      </c>
      <c r="D46" s="45"/>
      <c r="E46" s="47"/>
      <c r="F46" s="49" t="s">
        <v>124</v>
      </c>
      <c r="G46" s="26"/>
      <c r="H46" s="26"/>
      <c r="I46" s="26"/>
      <c r="J46" s="26"/>
      <c r="K46" s="26"/>
      <c r="L46" s="26"/>
      <c r="M46" s="26"/>
      <c r="N46" s="70"/>
      <c r="O46" s="26"/>
      <c r="P46" s="26"/>
    </row>
    <row r="47">
      <c r="A47" s="26"/>
      <c r="B47" s="44">
        <v>40.0</v>
      </c>
      <c r="C47" s="44" t="s">
        <v>36</v>
      </c>
      <c r="D47" s="45"/>
      <c r="E47" s="47"/>
      <c r="F47" s="49" t="s">
        <v>126</v>
      </c>
      <c r="G47" s="26"/>
      <c r="H47" s="26"/>
      <c r="I47" s="26"/>
      <c r="J47" s="26"/>
      <c r="K47" s="26"/>
      <c r="L47" s="26"/>
      <c r="M47" s="26"/>
      <c r="N47" s="70"/>
      <c r="O47" s="26"/>
      <c r="P47" s="26"/>
    </row>
    <row r="48">
      <c r="A48" s="26"/>
      <c r="B48" s="44">
        <v>41.0</v>
      </c>
      <c r="C48" s="44" t="s">
        <v>36</v>
      </c>
      <c r="D48" s="45"/>
      <c r="E48" s="47"/>
      <c r="F48" s="49" t="s">
        <v>128</v>
      </c>
      <c r="G48" s="26"/>
      <c r="H48" s="26"/>
      <c r="I48" s="26"/>
      <c r="J48" s="26"/>
      <c r="K48" s="26"/>
      <c r="L48" s="26"/>
      <c r="M48" s="26"/>
      <c r="N48" s="70"/>
      <c r="O48" s="26"/>
      <c r="P48" s="26"/>
    </row>
    <row r="49">
      <c r="A49" s="26"/>
      <c r="B49" s="44">
        <v>42.0</v>
      </c>
      <c r="C49" s="44" t="s">
        <v>36</v>
      </c>
      <c r="D49" s="45"/>
      <c r="E49" s="47"/>
      <c r="F49" s="49" t="s">
        <v>129</v>
      </c>
      <c r="G49" s="26"/>
      <c r="H49" s="26"/>
      <c r="I49" s="26"/>
      <c r="J49" s="26"/>
      <c r="K49" s="26"/>
      <c r="L49" s="26"/>
      <c r="M49" s="26"/>
      <c r="N49" s="70"/>
      <c r="O49" s="26"/>
      <c r="P49" s="26"/>
    </row>
    <row r="50">
      <c r="A50" s="26"/>
      <c r="B50" s="44">
        <v>43.0</v>
      </c>
      <c r="C50" s="44" t="s">
        <v>36</v>
      </c>
      <c r="D50" s="45"/>
      <c r="E50" s="47"/>
      <c r="F50" s="49" t="s">
        <v>131</v>
      </c>
      <c r="G50" s="26"/>
      <c r="H50" s="26"/>
      <c r="I50" s="26"/>
      <c r="J50" s="26"/>
      <c r="K50" s="26"/>
      <c r="L50" s="26"/>
      <c r="M50" s="26"/>
      <c r="N50" s="70"/>
      <c r="O50" s="26"/>
      <c r="P50" s="26"/>
    </row>
  </sheetData>
  <conditionalFormatting sqref="C8:C50">
    <cfRule type="cellIs" dxfId="5" priority="1" stopIfTrue="1" operator="equal">
      <formula>"Completed"</formula>
    </cfRule>
  </conditionalFormatting>
  <conditionalFormatting sqref="C8:C50">
    <cfRule type="cellIs" dxfId="6" priority="2" stopIfTrue="1" operator="equal">
      <formula>"Pending"</formula>
    </cfRule>
  </conditionalFormatting>
  <conditionalFormatting sqref="C8:C50">
    <cfRule type="cellIs" dxfId="7" priority="3" stopIfTrue="1" operator="equal">
      <formula>"Revisit"</formula>
    </cfRule>
  </conditionalFormatting>
  <dataValidations>
    <dataValidation type="list" allowBlank="1" showErrorMessage="1" sqref="C8:C50">
      <formula1>"Completed,Pending"</formula1>
    </dataValidation>
    <dataValidation type="custom" allowBlank="1" showErrorMessage="1" sqref="D8:D33">
      <formula1>OR(NOT(ISERROR(DATEVALUE(D8))), AND(ISNUMBER(D8), LEFT(CELL("format", D8))="D"))</formula1>
    </dataValidation>
  </dataValidations>
  <hyperlinks>
    <hyperlink r:id="rId1" ref="F8"/>
    <hyperlink r:id="rId2" ref="F9"/>
    <hyperlink r:id="rId3" ref="F10"/>
    <hyperlink r:id="rId4" ref="F11"/>
    <hyperlink r:id="rId5" ref="F12"/>
    <hyperlink r:id="rId6" ref="F13"/>
    <hyperlink r:id="rId7" ref="F14"/>
    <hyperlink r:id="rId8" ref="F15"/>
    <hyperlink r:id="rId9" ref="F16"/>
    <hyperlink r:id="rId10" ref="F17"/>
    <hyperlink r:id="rId11" ref="F18"/>
    <hyperlink r:id="rId12" ref="F19"/>
    <hyperlink r:id="rId13" ref="F20"/>
    <hyperlink r:id="rId14" ref="F21"/>
    <hyperlink r:id="rId15" ref="F22"/>
    <hyperlink r:id="rId16" ref="F23"/>
    <hyperlink r:id="rId17" ref="F24"/>
    <hyperlink r:id="rId18" ref="F25"/>
    <hyperlink r:id="rId19" ref="F26"/>
    <hyperlink r:id="rId20" ref="F27"/>
    <hyperlink r:id="rId21" ref="F28"/>
    <hyperlink r:id="rId22" ref="F29"/>
    <hyperlink r:id="rId23" ref="F30"/>
    <hyperlink r:id="rId24" ref="F31"/>
    <hyperlink r:id="rId25" ref="F32"/>
    <hyperlink r:id="rId26" ref="F33"/>
    <hyperlink r:id="rId27" ref="F34"/>
    <hyperlink r:id="rId28" ref="F35"/>
    <hyperlink r:id="rId29" ref="F36"/>
    <hyperlink r:id="rId30" ref="F37"/>
    <hyperlink r:id="rId31" ref="F38"/>
    <hyperlink r:id="rId32" ref="F39"/>
    <hyperlink r:id="rId33" ref="F40"/>
    <hyperlink r:id="rId34" ref="F41"/>
    <hyperlink r:id="rId35" ref="F42"/>
    <hyperlink r:id="rId36" ref="F43"/>
    <hyperlink r:id="rId37" ref="F44"/>
    <hyperlink r:id="rId38" ref="F45"/>
    <hyperlink r:id="rId39" ref="F46"/>
    <hyperlink r:id="rId40" ref="F47"/>
    <hyperlink r:id="rId41" ref="F48"/>
    <hyperlink r:id="rId42" ref="F49"/>
    <hyperlink r:id="rId43" ref="F50"/>
  </hyperlinks>
  <drawing r:id="rId44"/>
  <tableParts count="1">
    <tablePart r:id="rId46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.75"/>
    <col customWidth="1" min="2" max="2" width="12.63"/>
    <col customWidth="1" min="3" max="4" width="15.13"/>
    <col customWidth="1" min="5" max="5" width="13.88"/>
    <col customWidth="1" min="6" max="6" width="40.0"/>
    <col customWidth="1" min="7" max="7" width="12.63"/>
    <col customWidth="1" min="8" max="8" width="2.75"/>
    <col customWidth="1" min="9" max="9" width="15.13"/>
    <col customWidth="1" min="10" max="10" width="12.63"/>
    <col customWidth="1" min="11" max="11" width="19.75"/>
  </cols>
  <sheetData>
    <row r="1">
      <c r="A1" s="26"/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</row>
    <row r="2">
      <c r="A2" s="26"/>
      <c r="B2" s="28" t="s">
        <v>26</v>
      </c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</row>
    <row r="3">
      <c r="A3" s="26"/>
      <c r="B3" s="26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</row>
    <row r="4">
      <c r="A4" s="26"/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</row>
    <row r="5">
      <c r="A5" s="26"/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</row>
    <row r="6">
      <c r="A6" s="26"/>
      <c r="B6" s="26"/>
      <c r="C6" s="26"/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/>
    </row>
    <row r="7">
      <c r="A7" s="26"/>
      <c r="B7" s="32" t="s">
        <v>2</v>
      </c>
      <c r="C7" s="32" t="s">
        <v>27</v>
      </c>
      <c r="D7" s="32" t="s">
        <v>28</v>
      </c>
      <c r="E7" s="32" t="s">
        <v>29</v>
      </c>
      <c r="F7" s="34" t="s">
        <v>30</v>
      </c>
      <c r="G7" s="30" t="s">
        <v>31</v>
      </c>
      <c r="H7" s="26"/>
      <c r="I7" s="35" t="s">
        <v>32</v>
      </c>
      <c r="J7" s="26"/>
      <c r="K7" s="36" t="s">
        <v>11</v>
      </c>
      <c r="L7" s="40" t="str">
        <f>IFERROR(__xludf.DUMMYFUNCTION("SPARKLINE(I8, {""charttype"",""bar"";""max"",1;""color1"",""#4CAF50""})"),"")</f>
        <v/>
      </c>
      <c r="N7" s="41" t="s">
        <v>34</v>
      </c>
      <c r="O7" s="43" t="s">
        <v>35</v>
      </c>
      <c r="P7" s="26"/>
    </row>
    <row r="8">
      <c r="A8" s="26"/>
      <c r="B8" s="44">
        <v>1.0</v>
      </c>
      <c r="C8" s="44" t="s">
        <v>4</v>
      </c>
      <c r="D8" s="45">
        <v>46223.0</v>
      </c>
      <c r="E8" s="47"/>
      <c r="F8" s="49" t="s">
        <v>40</v>
      </c>
      <c r="G8" s="26"/>
      <c r="H8" s="26"/>
      <c r="I8" s="50">
        <f t="shared" ref="I8:I9" si="1">L8/$L$10</f>
        <v>0.125</v>
      </c>
      <c r="J8" s="26"/>
      <c r="K8" s="51" t="s">
        <v>4</v>
      </c>
      <c r="L8" s="52">
        <f>COUNTIF(C8:C23, "Completed")</f>
        <v>2</v>
      </c>
      <c r="N8" s="53">
        <f>DATE(2026, 7, 1)</f>
        <v>46204</v>
      </c>
      <c r="O8" s="54">
        <f t="shared" ref="O8:O13" si="2">COUNTIFS($D$8:$D$23, "&gt;="&amp;N8, $D$8:$D$23, "&lt;="&amp;EOMONTH(N8, 0), $C$8:$C$23, "Completed")</f>
        <v>2</v>
      </c>
      <c r="P8" s="26"/>
    </row>
    <row r="9">
      <c r="A9" s="26"/>
      <c r="B9" s="44">
        <v>2.0</v>
      </c>
      <c r="C9" s="44" t="s">
        <v>4</v>
      </c>
      <c r="D9" s="45">
        <v>46228.0</v>
      </c>
      <c r="E9" s="47"/>
      <c r="F9" s="49" t="s">
        <v>45</v>
      </c>
      <c r="G9" s="26"/>
      <c r="H9" s="26"/>
      <c r="I9" s="50">
        <f t="shared" si="1"/>
        <v>0.875</v>
      </c>
      <c r="J9" s="26"/>
      <c r="K9" s="51" t="s">
        <v>36</v>
      </c>
      <c r="L9" s="52">
        <f>COUNTIF(C8:C23, "Pending")</f>
        <v>14</v>
      </c>
      <c r="N9" s="53">
        <f>DATE(2026, 8, 1)</f>
        <v>46235</v>
      </c>
      <c r="O9" s="54">
        <f t="shared" si="2"/>
        <v>0</v>
      </c>
      <c r="P9" s="26"/>
    </row>
    <row r="10">
      <c r="A10" s="26"/>
      <c r="B10" s="44">
        <v>3.0</v>
      </c>
      <c r="C10" s="44" t="s">
        <v>36</v>
      </c>
      <c r="D10" s="45"/>
      <c r="E10" s="47"/>
      <c r="F10" s="49" t="s">
        <v>50</v>
      </c>
      <c r="G10" s="26"/>
      <c r="H10" s="26"/>
      <c r="I10" s="26"/>
      <c r="J10" s="26"/>
      <c r="K10" s="51" t="s">
        <v>49</v>
      </c>
      <c r="L10" s="52">
        <f>COUNT(B8:B23)</f>
        <v>16</v>
      </c>
      <c r="M10" s="56"/>
      <c r="N10" s="53">
        <f>DATE(2026, 9, 1)</f>
        <v>46266</v>
      </c>
      <c r="O10" s="54">
        <f t="shared" si="2"/>
        <v>0</v>
      </c>
      <c r="P10" s="26"/>
    </row>
    <row r="11">
      <c r="A11" s="26"/>
      <c r="B11" s="44">
        <v>4.0</v>
      </c>
      <c r="C11" s="44" t="s">
        <v>36</v>
      </c>
      <c r="D11" s="45"/>
      <c r="E11" s="47"/>
      <c r="F11" s="49" t="s">
        <v>54</v>
      </c>
      <c r="G11" s="26"/>
      <c r="H11" s="26"/>
      <c r="I11" s="26"/>
      <c r="J11" s="26"/>
      <c r="K11" s="51" t="s">
        <v>53</v>
      </c>
      <c r="L11" s="58">
        <f>SUM(G8:G23)</f>
        <v>0</v>
      </c>
      <c r="M11" s="56"/>
      <c r="N11" s="53">
        <f>DATE(2026, 10, 1)</f>
        <v>46296</v>
      </c>
      <c r="O11" s="54">
        <f t="shared" si="2"/>
        <v>0</v>
      </c>
      <c r="P11" s="26"/>
    </row>
    <row r="12">
      <c r="A12" s="26"/>
      <c r="B12" s="44">
        <v>5.0</v>
      </c>
      <c r="C12" s="44" t="s">
        <v>36</v>
      </c>
      <c r="D12" s="45"/>
      <c r="E12" s="47"/>
      <c r="F12" s="49" t="s">
        <v>60</v>
      </c>
      <c r="G12" s="26"/>
      <c r="H12" s="26"/>
      <c r="I12" s="26"/>
      <c r="J12" s="26"/>
      <c r="K12" s="51" t="s">
        <v>58</v>
      </c>
      <c r="L12" s="58">
        <f>SUMIF(C8:C23, "Pending", G8:G23)</f>
        <v>0</v>
      </c>
      <c r="M12" s="56"/>
      <c r="N12" s="53">
        <f>DATE(2026, 11, 1)</f>
        <v>46327</v>
      </c>
      <c r="O12" s="54">
        <f t="shared" si="2"/>
        <v>0</v>
      </c>
      <c r="P12" s="26"/>
    </row>
    <row r="13">
      <c r="A13" s="26"/>
      <c r="B13" s="44">
        <v>6.0</v>
      </c>
      <c r="C13" s="44" t="s">
        <v>36</v>
      </c>
      <c r="D13" s="45"/>
      <c r="E13" s="47"/>
      <c r="F13" s="49" t="s">
        <v>66</v>
      </c>
      <c r="G13" s="26"/>
      <c r="H13" s="26"/>
      <c r="I13" s="26"/>
      <c r="J13" s="26"/>
      <c r="K13" s="51" t="s">
        <v>7</v>
      </c>
      <c r="L13" s="61"/>
      <c r="M13" s="56"/>
      <c r="N13" s="53">
        <f>DATE(2026, 12, 1)</f>
        <v>46357</v>
      </c>
      <c r="O13" s="54">
        <f t="shared" si="2"/>
        <v>0</v>
      </c>
      <c r="P13" s="26"/>
    </row>
    <row r="14">
      <c r="A14" s="26"/>
      <c r="B14" s="44">
        <v>7.0</v>
      </c>
      <c r="C14" s="44" t="s">
        <v>36</v>
      </c>
      <c r="D14" s="45"/>
      <c r="E14" s="47"/>
      <c r="F14" s="49" t="s">
        <v>72</v>
      </c>
      <c r="G14" s="26"/>
      <c r="H14" s="26"/>
      <c r="I14" s="26"/>
      <c r="J14" s="26"/>
      <c r="K14" s="51" t="s">
        <v>67</v>
      </c>
      <c r="L14" s="61"/>
      <c r="M14" s="56"/>
      <c r="N14" s="66"/>
      <c r="O14" s="26"/>
      <c r="P14" s="26"/>
    </row>
    <row r="15">
      <c r="A15" s="26"/>
      <c r="B15" s="44">
        <v>8.0</v>
      </c>
      <c r="C15" s="44" t="s">
        <v>36</v>
      </c>
      <c r="D15" s="45"/>
      <c r="E15" s="47"/>
      <c r="F15" s="49" t="s">
        <v>76</v>
      </c>
      <c r="G15" s="26"/>
      <c r="H15" s="26"/>
      <c r="I15" s="26"/>
      <c r="J15" s="26"/>
      <c r="K15" s="56"/>
      <c r="L15" s="56"/>
      <c r="M15" s="56"/>
      <c r="N15" s="66"/>
      <c r="O15" s="26"/>
      <c r="P15" s="26"/>
    </row>
    <row r="16">
      <c r="A16" s="26"/>
      <c r="B16" s="44">
        <v>9.0</v>
      </c>
      <c r="C16" s="44" t="s">
        <v>36</v>
      </c>
      <c r="D16" s="45"/>
      <c r="E16" s="47"/>
      <c r="F16" s="49" t="s">
        <v>78</v>
      </c>
      <c r="G16" s="26"/>
      <c r="H16" s="26"/>
      <c r="I16" s="26"/>
      <c r="J16" s="26"/>
      <c r="K16" s="67" t="s">
        <v>73</v>
      </c>
      <c r="L16" s="67" t="s">
        <v>4</v>
      </c>
      <c r="M16" s="67" t="s">
        <v>36</v>
      </c>
      <c r="N16" s="66"/>
      <c r="O16" s="26"/>
      <c r="P16" s="26"/>
    </row>
    <row r="17">
      <c r="A17" s="26"/>
      <c r="B17" s="44">
        <v>10.0</v>
      </c>
      <c r="C17" s="44" t="s">
        <v>36</v>
      </c>
      <c r="D17" s="45"/>
      <c r="E17" s="47"/>
      <c r="F17" s="49" t="s">
        <v>80</v>
      </c>
      <c r="G17" s="26"/>
      <c r="H17" s="26"/>
      <c r="I17" s="26"/>
      <c r="J17" s="26"/>
      <c r="K17" s="67" t="s">
        <v>75</v>
      </c>
      <c r="L17" s="69">
        <f>L8</f>
        <v>2</v>
      </c>
      <c r="M17" s="69">
        <f>L9</f>
        <v>14</v>
      </c>
      <c r="N17" s="66"/>
      <c r="O17" s="26"/>
      <c r="P17" s="26"/>
    </row>
    <row r="18">
      <c r="A18" s="26"/>
      <c r="B18" s="44">
        <v>11.0</v>
      </c>
      <c r="C18" s="44" t="s">
        <v>36</v>
      </c>
      <c r="D18" s="45"/>
      <c r="E18" s="47"/>
      <c r="F18" s="49" t="s">
        <v>83</v>
      </c>
      <c r="G18" s="26"/>
      <c r="H18" s="26"/>
      <c r="I18" s="26"/>
      <c r="J18" s="26"/>
      <c r="K18" s="26"/>
      <c r="L18" s="26"/>
      <c r="M18" s="26"/>
      <c r="N18" s="70"/>
      <c r="O18" s="26"/>
      <c r="P18" s="26"/>
    </row>
    <row r="19">
      <c r="A19" s="26"/>
      <c r="B19" s="44">
        <v>12.0</v>
      </c>
      <c r="C19" s="44" t="s">
        <v>36</v>
      </c>
      <c r="D19" s="45"/>
      <c r="E19" s="47"/>
      <c r="F19" s="49" t="s">
        <v>86</v>
      </c>
      <c r="G19" s="26"/>
      <c r="H19" s="26"/>
      <c r="I19" s="26"/>
      <c r="J19" s="26"/>
      <c r="K19" s="26"/>
      <c r="L19" s="26"/>
      <c r="M19" s="26"/>
      <c r="N19" s="70"/>
      <c r="O19" s="26"/>
      <c r="P19" s="26"/>
    </row>
    <row r="20">
      <c r="A20" s="26"/>
      <c r="B20" s="44">
        <v>13.0</v>
      </c>
      <c r="C20" s="44" t="s">
        <v>36</v>
      </c>
      <c r="D20" s="45"/>
      <c r="E20" s="47"/>
      <c r="F20" s="49" t="s">
        <v>88</v>
      </c>
      <c r="G20" s="26"/>
      <c r="H20" s="26"/>
      <c r="I20" s="26"/>
      <c r="J20" s="26"/>
      <c r="K20" s="26"/>
      <c r="L20" s="26"/>
      <c r="M20" s="26"/>
      <c r="N20" s="70"/>
      <c r="O20" s="26"/>
      <c r="P20" s="26"/>
    </row>
    <row r="21">
      <c r="A21" s="26"/>
      <c r="B21" s="44">
        <v>14.0</v>
      </c>
      <c r="C21" s="44" t="s">
        <v>36</v>
      </c>
      <c r="D21" s="45"/>
      <c r="E21" s="47"/>
      <c r="F21" s="49" t="s">
        <v>90</v>
      </c>
      <c r="G21" s="26"/>
      <c r="H21" s="26"/>
      <c r="I21" s="26"/>
      <c r="J21" s="26"/>
      <c r="K21" s="26"/>
      <c r="L21" s="26"/>
      <c r="M21" s="26"/>
      <c r="N21" s="70"/>
      <c r="O21" s="26"/>
      <c r="P21" s="26"/>
    </row>
    <row r="22">
      <c r="A22" s="26"/>
      <c r="B22" s="44">
        <v>15.0</v>
      </c>
      <c r="C22" s="44" t="s">
        <v>36</v>
      </c>
      <c r="D22" s="45"/>
      <c r="E22" s="47"/>
      <c r="F22" s="49" t="s">
        <v>92</v>
      </c>
      <c r="G22" s="26"/>
      <c r="H22" s="26"/>
      <c r="I22" s="26"/>
      <c r="J22" s="26"/>
      <c r="K22" s="26"/>
      <c r="L22" s="26"/>
      <c r="M22" s="26"/>
      <c r="N22" s="70"/>
      <c r="O22" s="26"/>
      <c r="P22" s="26"/>
    </row>
    <row r="23">
      <c r="A23" s="26"/>
      <c r="B23" s="44">
        <v>16.0</v>
      </c>
      <c r="C23" s="44" t="s">
        <v>36</v>
      </c>
      <c r="D23" s="45"/>
      <c r="E23" s="47"/>
      <c r="F23" s="49" t="s">
        <v>95</v>
      </c>
      <c r="G23" s="26"/>
      <c r="H23" s="26"/>
      <c r="I23" s="26"/>
      <c r="J23" s="26"/>
      <c r="K23" s="26"/>
      <c r="L23" s="26"/>
      <c r="M23" s="26"/>
      <c r="N23" s="70"/>
      <c r="O23" s="26"/>
      <c r="P23" s="26"/>
    </row>
  </sheetData>
  <conditionalFormatting sqref="C8:C23">
    <cfRule type="cellIs" dxfId="5" priority="1" stopIfTrue="1" operator="equal">
      <formula>"Completed"</formula>
    </cfRule>
  </conditionalFormatting>
  <conditionalFormatting sqref="C8:C23">
    <cfRule type="cellIs" dxfId="6" priority="2" stopIfTrue="1" operator="equal">
      <formula>"Pending"</formula>
    </cfRule>
  </conditionalFormatting>
  <conditionalFormatting sqref="C8:C23">
    <cfRule type="cellIs" dxfId="7" priority="3" stopIfTrue="1" operator="equal">
      <formula>"Revisit"</formula>
    </cfRule>
  </conditionalFormatting>
  <dataValidations>
    <dataValidation type="list" allowBlank="1" showErrorMessage="1" sqref="C8:C23">
      <formula1>"Completed,Pending"</formula1>
    </dataValidation>
    <dataValidation type="custom" allowBlank="1" showErrorMessage="1" sqref="D8:D23">
      <formula1>OR(NOT(ISERROR(DATEVALUE(D8))), AND(ISNUMBER(D8), LEFT(CELL("format", D8))="D"))</formula1>
    </dataValidation>
  </dataValidations>
  <hyperlinks>
    <hyperlink r:id="rId1" ref="F8"/>
    <hyperlink r:id="rId2" ref="F9"/>
    <hyperlink r:id="rId3" ref="F10"/>
    <hyperlink r:id="rId4" ref="F11"/>
    <hyperlink r:id="rId5" ref="F12"/>
    <hyperlink r:id="rId6" ref="F13"/>
    <hyperlink r:id="rId7" ref="F14"/>
    <hyperlink r:id="rId8" ref="F15"/>
    <hyperlink r:id="rId9" ref="F16"/>
    <hyperlink r:id="rId10" ref="F17"/>
    <hyperlink r:id="rId11" ref="F18"/>
    <hyperlink r:id="rId12" ref="F19"/>
    <hyperlink r:id="rId13" ref="F20"/>
    <hyperlink r:id="rId14" ref="F21"/>
    <hyperlink r:id="rId15" ref="F22"/>
    <hyperlink r:id="rId16" ref="F23"/>
  </hyperlinks>
  <drawing r:id="rId17"/>
  <tableParts count="1">
    <tablePart r:id="rId19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.75"/>
    <col customWidth="1" min="2" max="3" width="29.63"/>
    <col customWidth="1" min="4" max="4" width="12.0"/>
    <col customWidth="1" min="5" max="6" width="9.13"/>
    <col customWidth="1" min="9" max="9" width="18.13"/>
    <col customWidth="1" min="10" max="10" width="33.63"/>
  </cols>
  <sheetData>
    <row r="1" ht="6.7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3"/>
    </row>
    <row r="2">
      <c r="B2" s="4"/>
      <c r="C2" s="4" t="s">
        <v>1</v>
      </c>
      <c r="G2" s="2"/>
      <c r="H2" s="2"/>
      <c r="I2" s="2"/>
      <c r="J2" s="3"/>
    </row>
    <row r="3">
      <c r="B3" s="2"/>
      <c r="C3" s="2"/>
      <c r="D3" s="2"/>
      <c r="E3" s="2"/>
      <c r="F3" s="2"/>
      <c r="G3" s="2"/>
      <c r="H3" s="2"/>
      <c r="I3" s="2"/>
      <c r="J3" s="3"/>
    </row>
    <row r="4">
      <c r="B4" s="2"/>
      <c r="C4" s="2"/>
      <c r="D4" s="2"/>
      <c r="E4" s="2"/>
      <c r="F4" s="2"/>
      <c r="G4" s="2"/>
      <c r="H4" s="2"/>
      <c r="I4" s="2"/>
      <c r="J4" s="3"/>
    </row>
    <row r="5" ht="26.25" customHeight="1">
      <c r="B5" s="5" t="s">
        <v>2</v>
      </c>
      <c r="C5" s="6" t="s">
        <v>3</v>
      </c>
      <c r="D5" s="7" t="s">
        <v>4</v>
      </c>
      <c r="E5" s="7" t="s">
        <v>5</v>
      </c>
      <c r="F5" s="7" t="s">
        <v>6</v>
      </c>
      <c r="G5" s="7" t="s">
        <v>7</v>
      </c>
      <c r="H5" s="7" t="s">
        <v>8</v>
      </c>
      <c r="I5" s="7" t="s">
        <v>9</v>
      </c>
      <c r="J5" s="8" t="s">
        <v>10</v>
      </c>
      <c r="K5" s="8" t="s">
        <v>11</v>
      </c>
      <c r="L5" s="8" t="s">
        <v>12</v>
      </c>
    </row>
    <row r="6" ht="26.25" customHeight="1">
      <c r="B6" s="9">
        <v>1.0</v>
      </c>
      <c r="C6" s="10" t="s">
        <v>13</v>
      </c>
      <c r="D6" s="11">
        <f>COUNTIF('Sri Rudram Tracker'!C6:C36, "Completed")</f>
        <v>31</v>
      </c>
      <c r="E6" s="11">
        <f>COUNTIF('Sri Rudram Tracker'!C6:C36, "Pending")</f>
        <v>0</v>
      </c>
      <c r="F6" s="11">
        <f>COUNTA('Sri Rudram Tracker'!B6:B36)</f>
        <v>31</v>
      </c>
      <c r="G6" s="12">
        <f>IF(COUNT('Sri Rudram Tracker'!D6:D36)=0, "", MIN('Sri Rudram Tracker'!D6:D36))</f>
        <v>46216</v>
      </c>
      <c r="H6" s="12">
        <f>IF(COUNT('Sri Rudram Tracker'!D6:D36)=0, "", MAX('Sri Rudram Tracker'!D6:D36))</f>
        <v>46246</v>
      </c>
      <c r="I6" s="13" t="s">
        <v>14</v>
      </c>
      <c r="J6" s="14" t="s">
        <v>15</v>
      </c>
      <c r="K6" s="15" t="str">
        <f>IFERROR(__xludf.DUMMYFUNCTION("SPARKLINE({D6, E6}, {""charttype"", ""bar""; ""color1"", ""green""; ""color2"", ""red""; ""max"", F6})"),"")</f>
        <v/>
      </c>
      <c r="L6" s="16">
        <f t="shared" ref="L6:L15" si="1">IFERROR(D6/F6, 0)</f>
        <v>1</v>
      </c>
    </row>
    <row r="7" ht="26.25" customHeight="1">
      <c r="B7" s="9">
        <v>3.0</v>
      </c>
      <c r="C7" s="10" t="s">
        <v>16</v>
      </c>
      <c r="D7" s="11">
        <f>COUNTIF('Lalitha Tracker'!C6:C49, "Completed")</f>
        <v>44</v>
      </c>
      <c r="E7" s="11">
        <f>COUNTIF('Lalitha Tracker'!C6:C49, "Pending")</f>
        <v>0</v>
      </c>
      <c r="F7" s="11">
        <f>COUNTA('Lalitha Tracker'!B6:B49)</f>
        <v>44</v>
      </c>
      <c r="G7" s="12">
        <f>IF(COUNT('Lalitha Tracker'!D6:D49)=0, "", MIN('Lalitha Tracker'!D6:D49))</f>
        <v>46078</v>
      </c>
      <c r="H7" s="12">
        <f>IF(COUNT('Lalitha Tracker'!D6:D49)=0, "", MAX('Lalitha Tracker'!D6:D49))</f>
        <v>46221</v>
      </c>
      <c r="I7" s="13" t="s">
        <v>14</v>
      </c>
      <c r="J7" s="14" t="s">
        <v>17</v>
      </c>
      <c r="K7" s="15" t="str">
        <f>IFERROR(__xludf.DUMMYFUNCTION("SPARKLINE({D7, E7}, {""charttype"", ""bar""; ""color1"", ""green""; ""color2"", ""red""; ""max"", F7})"),"")</f>
        <v/>
      </c>
      <c r="L7" s="16">
        <f t="shared" si="1"/>
        <v>1</v>
      </c>
      <c r="N7" s="17"/>
    </row>
    <row r="8" ht="26.25" customHeight="1">
      <c r="B8" s="9">
        <v>4.0</v>
      </c>
      <c r="C8" s="10" t="s">
        <v>18</v>
      </c>
      <c r="D8" s="11">
        <f>COUNTIF('Katha Upanishad'!C6:C49, "Completed")</f>
        <v>44</v>
      </c>
      <c r="E8" s="11">
        <f>COUNTIF('Katha Upanishad'!C6:C49, "Pending")</f>
        <v>0</v>
      </c>
      <c r="F8" s="11">
        <f>COUNTA('Katha Upanishad'!B6:B49)</f>
        <v>44</v>
      </c>
      <c r="G8" s="12">
        <f>IF(COUNT('Katha Upanishad'!D6:D49)=0, "", MIN('Katha Upanishad'!D6:D49))</f>
        <v>45909</v>
      </c>
      <c r="H8" s="12">
        <f>IF(COUNT('Katha Upanishad'!D6:D49)=0, "", MAX('Katha Upanishad'!D6:D49))</f>
        <v>45934</v>
      </c>
      <c r="I8" s="13" t="s">
        <v>14</v>
      </c>
      <c r="J8" s="14" t="s">
        <v>19</v>
      </c>
      <c r="K8" s="15" t="str">
        <f>IFERROR(__xludf.DUMMYFUNCTION("SPARKLINE({D8, E8}, {""charttype"", ""bar""; ""color1"", ""green""; ""color2"", ""red""; ""max"", F8})"),"")</f>
        <v/>
      </c>
      <c r="L8" s="16">
        <f t="shared" si="1"/>
        <v>1</v>
      </c>
    </row>
    <row r="9" ht="26.25" customHeight="1">
      <c r="B9" s="18">
        <v>5.0</v>
      </c>
      <c r="C9" s="19" t="s">
        <v>20</v>
      </c>
      <c r="D9" s="20">
        <f>COUNTIF('Devi Bhaagavatham Tracker'!C8:C33, "Completed")</f>
        <v>26</v>
      </c>
      <c r="E9" s="20">
        <f>COUNTIF('Devi Bhaagavatham Tracker'!C8:C33, "Pending")</f>
        <v>0</v>
      </c>
      <c r="F9" s="20">
        <f>COUNTA('Devi Bhaagavatham Tracker'!B8:B33)</f>
        <v>26</v>
      </c>
      <c r="G9" s="21">
        <f>IF(COUNT('Devi Bhaagavatham Tracker'!D8:D33)=0, "", MIN('Devi Bhaagavatham Tracker'!D8:D33))</f>
        <v>46196</v>
      </c>
      <c r="H9" s="21">
        <f>IF(COUNT('Devi Bhaagavatham Tracker'!D8:D33)=0, "", MAX('Devi Bhaagavatham Tracker'!D8:D33))</f>
        <v>46223</v>
      </c>
      <c r="I9" s="22" t="s">
        <v>14</v>
      </c>
      <c r="J9" s="23" t="s">
        <v>21</v>
      </c>
      <c r="K9" s="24" t="str">
        <f>IFERROR(__xludf.DUMMYFUNCTION("SPARKLINE({D9, E9}, {""charttype"", ""bar""; ""color1"", ""green""; ""color2"", ""red""; ""max"", F9})"),"")</f>
        <v/>
      </c>
      <c r="L9" s="25">
        <f t="shared" si="1"/>
        <v>1</v>
      </c>
    </row>
    <row r="10">
      <c r="B10" s="18">
        <v>8.0</v>
      </c>
      <c r="C10" s="18" t="s">
        <v>22</v>
      </c>
      <c r="D10" s="27">
        <f>COUNTIF('Sandhyavandhanam Tracker'!C6:C17, "Completed")</f>
        <v>4</v>
      </c>
      <c r="E10" s="27">
        <f>COUNTIF('Sandhyavandhanam Tracker'!C6:C17, "Pending")</f>
        <v>6</v>
      </c>
      <c r="F10" s="27">
        <f>COUNTA('Sandhyavandhanam Tracker'!B6:B17)</f>
        <v>10</v>
      </c>
      <c r="G10" s="31">
        <f>IF(COUNT('Sandhyavandhanam Tracker'!D6:D17)=0, "", MIN('Sandhyavandhanam Tracker'!D6:D17))</f>
        <v>46226</v>
      </c>
      <c r="H10" s="31">
        <f>IF(COUNT('Sandhyavandhanam Tracker'!D6:D17)=0, "", MAX('Sandhyavandhanam Tracker'!D6:D17))</f>
        <v>46246</v>
      </c>
      <c r="I10" s="33" t="s">
        <v>14</v>
      </c>
      <c r="J10" s="37" t="str">
        <f>HYPERLINK("[link removed]", "Sandhyavandhanam")</f>
        <v>Sandhyavandhanam</v>
      </c>
      <c r="K10" s="38" t="str">
        <f>IFERROR(__xludf.DUMMYFUNCTION("SPARKLINE({D10, E10}, {""charttype"", ""bar""; ""color1"", ""green""; ""color2"", ""red""; ""max"", F10})"),"")</f>
        <v/>
      </c>
      <c r="L10" s="39">
        <f t="shared" si="1"/>
        <v>0.4</v>
      </c>
    </row>
    <row r="11" ht="24.75" customHeight="1">
      <c r="A11" s="38"/>
      <c r="B11" s="9">
        <v>2.0</v>
      </c>
      <c r="C11" s="9" t="s">
        <v>33</v>
      </c>
      <c r="D11" s="42">
        <f>COUNTIF('Sanskrit Tracker'!C8:C102, "Completed")</f>
        <v>14</v>
      </c>
      <c r="E11" s="42">
        <f>COUNTIF('Sanskrit Tracker'!C8:C102, "Pending")</f>
        <v>81</v>
      </c>
      <c r="F11" s="42">
        <f>COUNTA('Sanskrit Tracker'!B8:B102)</f>
        <v>95</v>
      </c>
      <c r="G11" s="46">
        <f>IF(COUNT('Sanskrit Tracker'!D7:D102)=0, "", MIN('Sanskrit Tracker'!D7:D102))</f>
        <v>46204</v>
      </c>
      <c r="H11" s="46">
        <f>IF(COUNT('Sanskrit Tracker'!D7:D102)=0, "", MAX('Sanskrit Tracker'!D7:D102))</f>
        <v>46219</v>
      </c>
      <c r="I11" s="48" t="s">
        <v>14</v>
      </c>
      <c r="J11" s="14" t="s">
        <v>39</v>
      </c>
      <c r="K11" s="15" t="str">
        <f>IFERROR(__xludf.DUMMYFUNCTION("SPARKLINE({D11, E11}, {""charttype"", ""bar""; ""color1"", ""green""; ""color2"", ""red""; ""max"", F11})"),"")</f>
        <v/>
      </c>
      <c r="L11" s="16">
        <f t="shared" si="1"/>
        <v>0.1473684211</v>
      </c>
    </row>
    <row r="12">
      <c r="B12" s="18">
        <v>7.0</v>
      </c>
      <c r="C12" s="18" t="s">
        <v>41</v>
      </c>
      <c r="D12" s="27">
        <f>COUNTIF('Sootha Samhitha'!C8:C23, "Completed")</f>
        <v>2</v>
      </c>
      <c r="E12" s="27">
        <f>COUNTIF('Sootha Samhitha'!C8:C23, "Pending")</f>
        <v>14</v>
      </c>
      <c r="F12" s="27">
        <f>COUNTA('Sootha Samhitha'!B8:B23)</f>
        <v>16</v>
      </c>
      <c r="G12" s="31">
        <f>IF(COUNT('Sootha Samhitha'!D8:D23)=0, "", MIN('Sootha Samhitha'!D8:D23))</f>
        <v>46223</v>
      </c>
      <c r="H12" s="31">
        <f>IF(COUNT('Sootha Samhitha'!D8:D23)=0, "", MAX('Sootha Samhitha'!D8:D23))</f>
        <v>46228</v>
      </c>
      <c r="I12" s="33" t="s">
        <v>14</v>
      </c>
      <c r="J12" s="23" t="str">
        <f>HYPERLINK("[link removed]", "Samavedham Shanmukha Sharma Sootha Samhitha")</f>
        <v>Samavedham Shanmukha Sharma Sootha Samhitha</v>
      </c>
      <c r="K12" s="24" t="str">
        <f>IFERROR(__xludf.DUMMYFUNCTION("SPARKLINE({D12, E12}, {""charttype"", ""bar""; ""color1"", ""green""; ""color2"", ""red""; ""max"", F12})"),"")</f>
        <v/>
      </c>
      <c r="L12" s="25">
        <f t="shared" si="1"/>
        <v>0.125</v>
      </c>
    </row>
    <row r="13" ht="24.0" customHeight="1">
      <c r="B13" s="18">
        <v>6.0</v>
      </c>
      <c r="C13" s="18" t="s">
        <v>44</v>
      </c>
      <c r="D13" s="18">
        <f>COUNTIF('Bhagavadgita Tracker'!C8:C50, "Completed")</f>
        <v>8</v>
      </c>
      <c r="E13" s="18">
        <f>COUNTIF('Bhagavadgita Tracker'!C8:C50, "Pending")</f>
        <v>35</v>
      </c>
      <c r="F13" s="18">
        <f>COUNTA('Bhagavadgita Tracker'!B8:B50)</f>
        <v>43</v>
      </c>
      <c r="G13" s="31">
        <f>IF(COUNT('Bhagavadgita Tracker'!D8:D50)=0, "", MIN('Bhagavadgita Tracker'!D8:D50))</f>
        <v>46246</v>
      </c>
      <c r="H13" s="31">
        <f>IF(COUNT('Bhagavadgita Tracker'!D8:D50)=0, "", MAX('Bhagavadgita Tracker'!D8:D50))</f>
        <v>46253</v>
      </c>
      <c r="I13" s="55" t="s">
        <v>14</v>
      </c>
      <c r="J13" s="23" t="s">
        <v>48</v>
      </c>
      <c r="K13" s="38" t="str">
        <f>IFERROR(__xludf.DUMMYFUNCTION("SPARKLINE({D13, E13}, {""charttype"", ""bar""; ""color1"", ""green""; ""color2"", ""red""; ""max"", F13})"),"")</f>
        <v/>
      </c>
      <c r="L13" s="57">
        <f t="shared" si="1"/>
        <v>0.1860465116</v>
      </c>
    </row>
    <row r="14">
      <c r="B14" s="18">
        <v>9.0</v>
      </c>
      <c r="C14" s="18" t="s">
        <v>23</v>
      </c>
      <c r="D14" s="27">
        <f>COUNTIF('ADITHYA HRIDAYAM'!C8:C17, "Completed")</f>
        <v>0</v>
      </c>
      <c r="E14" s="27">
        <f>COUNTIF('ADITHYA HRIDAYAM'!C8:C17, "Pending")</f>
        <v>9</v>
      </c>
      <c r="F14" s="27">
        <f>COUNTA('ADITHYA HRIDAYAM'!B8:B17)</f>
        <v>9</v>
      </c>
      <c r="G14" s="31" t="str">
        <f>IF(COUNT('ADITHYA HRIDAYAM'!D8:D17)=0, "", MIN('ADITHYA HRIDAYAM'!D8:D17))</f>
        <v/>
      </c>
      <c r="H14" s="31" t="str">
        <f>IF(COUNT('ADITHYA HRIDAYAM'!D8:D17)=0, "", MAX('ADITHYA HRIDAYAM'!D8:D17))</f>
        <v/>
      </c>
      <c r="I14" s="33" t="s">
        <v>14</v>
      </c>
      <c r="J14" s="23" t="s">
        <v>55</v>
      </c>
      <c r="K14" s="38" t="str">
        <f>IFERROR(__xludf.DUMMYFUNCTION("SPARKLINE({D14, E14}, {""charttype"", ""bar""; ""color1"", ""green""; ""color2"", ""red""; ""max"", F14})"),"")</f>
        <v/>
      </c>
      <c r="L14" s="39">
        <f t="shared" si="1"/>
        <v>0</v>
      </c>
    </row>
    <row r="15">
      <c r="B15" s="59">
        <v>10.0</v>
      </c>
      <c r="C15" s="59" t="s">
        <v>59</v>
      </c>
      <c r="D15" s="2">
        <f>COUNTIF('Garuda Mahapuranam'!C8:C22, "Completed")</f>
        <v>0</v>
      </c>
      <c r="E15" s="2">
        <f>COUNTIF('Garuda Mahapuranam'!C8:C22, "Pending")</f>
        <v>15</v>
      </c>
      <c r="F15" s="2">
        <f>COUNTA('Garuda Mahapuranam'!B8:B22)</f>
        <v>15</v>
      </c>
      <c r="G15" s="60" t="str">
        <f>IF(COUNT('Garuda Mahapuranam'!D8:D22)=0, "", MIN('Garuda Mahapuranam'!D8:D22))</f>
        <v/>
      </c>
      <c r="H15" s="60" t="str">
        <f>IF(COUNT('Garuda Mahapuranam'!D8:D22)=0, "", MAX('Garuda Mahapuranam'!D8:D22))</f>
        <v/>
      </c>
      <c r="I15" s="62" t="s">
        <v>14</v>
      </c>
      <c r="J15" s="63" t="s">
        <v>63</v>
      </c>
      <c r="K15" s="64" t="str">
        <f>IFERROR(__xludf.DUMMYFUNCTION("SPARKLINE({D15, E15}, {""charttype"", ""bar""; ""color1"", ""green""; ""color2"", ""red""; ""max"", F15})"),"")</f>
        <v/>
      </c>
      <c r="L15" s="65">
        <f t="shared" si="1"/>
        <v>0</v>
      </c>
    </row>
  </sheetData>
  <mergeCells count="1">
    <mergeCell ref="C2:F2"/>
  </mergeCells>
  <hyperlinks>
    <hyperlink display="Link" location="'Sri Rudram Tracker'!A1" ref="I6"/>
    <hyperlink r:id="rId1" ref="J6"/>
    <hyperlink display="Link" location="'Lalitha Tracker'!A1" ref="I7"/>
    <hyperlink r:id="rId2" ref="J7"/>
    <hyperlink display="Link" location="'Katha Upanishad'!A1" ref="I8"/>
    <hyperlink r:id="rId3" ref="J8"/>
    <hyperlink display="Link" location="'Devi Bhaagavatham Tracker'!A1" ref="I9"/>
    <hyperlink r:id="rId4" ref="J9"/>
    <hyperlink display="Link" location="'Sandhyavandhanam Tracker'!A1" ref="I10"/>
    <hyperlink display="Link" location="'Sanskrit Tracker'!A1" ref="I11"/>
    <hyperlink r:id="rId5" ref="J11"/>
    <hyperlink display="Link" location="'Sootha Samhitha'!A1" ref="I12"/>
    <hyperlink display="Link" location="'Bhagavadgita Tracker'!A1" ref="I13"/>
    <hyperlink r:id="rId6" ref="J13"/>
    <hyperlink display="Link" location="'ADITHYA HRIDAYAM'!A1" ref="I14"/>
    <hyperlink r:id="rId7" ref="J14"/>
    <hyperlink display="Link" location="'Garuda Mahapuranam'!A1" ref="I15"/>
    <hyperlink r:id="rId8" ref="J15"/>
  </hyperlinks>
  <drawing r:id="rId9"/>
  <tableParts count="2">
    <tablePart r:id="rId12"/>
    <tablePart r:id="rId1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.75"/>
    <col customWidth="1" min="2" max="2" width="23.88"/>
    <col customWidth="1" min="3" max="3" width="28.38"/>
    <col customWidth="1" min="4" max="4" width="13.63"/>
    <col customWidth="1" min="5" max="5" width="12.0"/>
    <col customWidth="1" min="6" max="6" width="43.0"/>
    <col customWidth="1" min="7" max="7" width="8.13"/>
    <col customWidth="1" min="9" max="9" width="11.63"/>
    <col customWidth="1" min="10" max="10" width="8.88"/>
    <col customWidth="1" min="11" max="11" width="7.0"/>
    <col customWidth="1" min="12" max="12" width="9.25"/>
    <col customWidth="1" min="14" max="14" width="9.75"/>
    <col customWidth="1" min="15" max="15" width="10.0"/>
  </cols>
  <sheetData>
    <row r="1" ht="6.75" customHeight="1">
      <c r="D1" s="71"/>
    </row>
    <row r="2">
      <c r="B2" s="72" t="s">
        <v>97</v>
      </c>
    </row>
    <row r="3">
      <c r="D3" s="71"/>
    </row>
    <row r="4">
      <c r="D4" s="71"/>
    </row>
    <row r="5" ht="26.25" customHeight="1">
      <c r="B5" s="73" t="s">
        <v>2</v>
      </c>
      <c r="C5" s="73" t="s">
        <v>27</v>
      </c>
      <c r="D5" s="74" t="s">
        <v>28</v>
      </c>
      <c r="E5" s="73" t="s">
        <v>99</v>
      </c>
      <c r="F5" s="73" t="s">
        <v>30</v>
      </c>
      <c r="G5" s="73" t="s">
        <v>31</v>
      </c>
      <c r="I5" s="75" t="s">
        <v>11</v>
      </c>
      <c r="J5" s="76"/>
      <c r="L5" s="77" t="s">
        <v>32</v>
      </c>
    </row>
    <row r="6" ht="26.25" customHeight="1">
      <c r="B6" s="78">
        <v>1.0</v>
      </c>
      <c r="C6" s="78" t="s">
        <v>4</v>
      </c>
      <c r="D6" s="79">
        <v>46226.0</v>
      </c>
      <c r="E6" s="80"/>
      <c r="F6" s="81" t="s">
        <v>101</v>
      </c>
      <c r="G6" s="80"/>
      <c r="I6" s="82" t="s">
        <v>4</v>
      </c>
      <c r="J6" s="83">
        <f>COUNTIF(C6:C17, "Completed")</f>
        <v>4</v>
      </c>
      <c r="L6" s="84">
        <f>J6/J8</f>
        <v>0.4</v>
      </c>
      <c r="M6" s="85"/>
    </row>
    <row r="7" ht="26.25" customHeight="1">
      <c r="B7" s="78">
        <v>2.0</v>
      </c>
      <c r="C7" s="78" t="s">
        <v>4</v>
      </c>
      <c r="D7" s="79">
        <v>46228.0</v>
      </c>
      <c r="E7" s="80"/>
      <c r="F7" s="81" t="s">
        <v>105</v>
      </c>
      <c r="G7" s="80"/>
      <c r="I7" s="86" t="s">
        <v>36</v>
      </c>
      <c r="J7" s="87">
        <f>COUNTIF(C6:C17, "Pending")</f>
        <v>6</v>
      </c>
      <c r="L7" s="88">
        <f>J7/J8</f>
        <v>0.6</v>
      </c>
      <c r="M7" s="89"/>
      <c r="N7" s="90" t="s">
        <v>34</v>
      </c>
      <c r="O7" s="90" t="s">
        <v>35</v>
      </c>
    </row>
    <row r="8" ht="26.25" customHeight="1">
      <c r="B8" s="78">
        <v>3.0</v>
      </c>
      <c r="C8" s="78" t="s">
        <v>4</v>
      </c>
      <c r="D8" s="79">
        <v>46240.0</v>
      </c>
      <c r="E8" s="80"/>
      <c r="F8" s="81" t="s">
        <v>108</v>
      </c>
      <c r="G8" s="80"/>
      <c r="I8" s="82" t="s">
        <v>49</v>
      </c>
      <c r="J8" s="83">
        <f>COUNTA(B6:B17)</f>
        <v>10</v>
      </c>
      <c r="N8" s="91">
        <v>46204.0</v>
      </c>
      <c r="O8" s="92">
        <f t="shared" ref="O8:O13" si="1">COUNTIFS($D$6:$D$17, "&gt;="&amp;N8, $D$6:$D$17, "&lt;="&amp;EOMONTH(N8, 0), $C$6:$C$17, "Completed")</f>
        <v>2</v>
      </c>
    </row>
    <row r="9" ht="26.25" customHeight="1">
      <c r="B9" s="78">
        <v>4.0</v>
      </c>
      <c r="C9" s="78" t="s">
        <v>4</v>
      </c>
      <c r="D9" s="79">
        <v>46246.0</v>
      </c>
      <c r="E9" s="80"/>
      <c r="F9" s="81" t="s">
        <v>111</v>
      </c>
      <c r="G9" s="80"/>
      <c r="I9" s="86" t="s">
        <v>53</v>
      </c>
      <c r="J9" s="87">
        <f>SUM(G6:G17)</f>
        <v>0</v>
      </c>
      <c r="N9" s="91">
        <v>46235.0</v>
      </c>
      <c r="O9" s="92">
        <f t="shared" si="1"/>
        <v>2</v>
      </c>
    </row>
    <row r="10" ht="26.25" customHeight="1">
      <c r="B10" s="78">
        <v>5.0</v>
      </c>
      <c r="C10" s="78" t="s">
        <v>36</v>
      </c>
      <c r="D10" s="79"/>
      <c r="E10" s="80"/>
      <c r="F10" s="81" t="s">
        <v>114</v>
      </c>
      <c r="G10" s="80"/>
      <c r="I10" s="82" t="s">
        <v>58</v>
      </c>
      <c r="J10" s="83">
        <f>SUMIF(C6:C17, "Pending", G6:G17)</f>
        <v>0</v>
      </c>
      <c r="N10" s="91">
        <v>46266.0</v>
      </c>
      <c r="O10" s="92">
        <f t="shared" si="1"/>
        <v>0</v>
      </c>
    </row>
    <row r="11" ht="26.25" customHeight="1">
      <c r="B11" s="78">
        <v>6.0</v>
      </c>
      <c r="C11" s="78" t="s">
        <v>36</v>
      </c>
      <c r="D11" s="79"/>
      <c r="E11" s="80"/>
      <c r="F11" s="81" t="s">
        <v>117</v>
      </c>
      <c r="G11" s="80"/>
      <c r="I11" s="86" t="s">
        <v>7</v>
      </c>
      <c r="J11" s="93">
        <f>MIN(D6:D17)</f>
        <v>46226</v>
      </c>
      <c r="N11" s="91">
        <v>46296.0</v>
      </c>
      <c r="O11" s="92">
        <f t="shared" si="1"/>
        <v>0</v>
      </c>
    </row>
    <row r="12" ht="26.25" customHeight="1">
      <c r="B12" s="78">
        <v>7.0</v>
      </c>
      <c r="C12" s="78" t="s">
        <v>36</v>
      </c>
      <c r="D12" s="79"/>
      <c r="E12" s="80"/>
      <c r="F12" s="81" t="s">
        <v>120</v>
      </c>
      <c r="G12" s="80"/>
      <c r="I12" s="82" t="s">
        <v>67</v>
      </c>
      <c r="J12" s="94">
        <f>MAX(D6:D17)</f>
        <v>46246</v>
      </c>
      <c r="N12" s="91">
        <v>46327.0</v>
      </c>
      <c r="O12" s="92">
        <f t="shared" si="1"/>
        <v>0</v>
      </c>
    </row>
    <row r="13" ht="26.25" customHeight="1">
      <c r="B13" s="78">
        <v>8.0</v>
      </c>
      <c r="C13" s="78" t="s">
        <v>36</v>
      </c>
      <c r="D13" s="79"/>
      <c r="E13" s="80"/>
      <c r="F13" s="81" t="s">
        <v>123</v>
      </c>
      <c r="G13" s="80"/>
      <c r="N13" s="91">
        <v>46357.0</v>
      </c>
      <c r="O13" s="92">
        <f t="shared" si="1"/>
        <v>0</v>
      </c>
    </row>
    <row r="14" ht="26.25" customHeight="1">
      <c r="B14" s="78">
        <v>9.0</v>
      </c>
      <c r="C14" s="78" t="s">
        <v>36</v>
      </c>
      <c r="D14" s="79"/>
      <c r="E14" s="80"/>
      <c r="F14" s="81" t="s">
        <v>125</v>
      </c>
      <c r="G14" s="80"/>
    </row>
    <row r="15" ht="26.25" customHeight="1">
      <c r="B15" s="78">
        <v>10.0</v>
      </c>
      <c r="C15" s="78" t="s">
        <v>36</v>
      </c>
      <c r="D15" s="79"/>
      <c r="E15" s="80"/>
      <c r="F15" s="96" t="s">
        <v>127</v>
      </c>
      <c r="G15" s="80"/>
    </row>
    <row r="16" ht="26.25" customHeight="1">
      <c r="B16" s="78"/>
      <c r="C16" s="78"/>
      <c r="D16" s="79"/>
      <c r="E16" s="80"/>
      <c r="F16" s="78"/>
      <c r="G16" s="80"/>
      <c r="I16" s="90" t="s">
        <v>73</v>
      </c>
      <c r="J16" s="90" t="s">
        <v>4</v>
      </c>
      <c r="K16" s="90" t="s">
        <v>36</v>
      </c>
    </row>
    <row r="17" ht="26.25" customHeight="1">
      <c r="B17" s="78"/>
      <c r="C17" s="78"/>
      <c r="D17" s="79"/>
      <c r="E17" s="80"/>
      <c r="F17" s="78"/>
      <c r="G17" s="80"/>
      <c r="I17" s="97" t="s">
        <v>75</v>
      </c>
      <c r="J17" s="92">
        <f>J6</f>
        <v>4</v>
      </c>
      <c r="K17" s="92">
        <f>J7</f>
        <v>6</v>
      </c>
    </row>
  </sheetData>
  <mergeCells count="3">
    <mergeCell ref="B2:H2"/>
    <mergeCell ref="I5:J5"/>
    <mergeCell ref="L5:M5"/>
  </mergeCells>
  <dataValidations>
    <dataValidation type="custom" allowBlank="1" sqref="D6:D17">
      <formula1>OR(NOT(ISERROR(DATEVALUE(D6))), AND(ISNUMBER(D6), LEFT(CELL("format", D6))="D"))</formula1>
    </dataValidation>
    <dataValidation type="list" allowBlank="1" sqref="C6:C15">
      <formula1>"Completed,Pending"</formula1>
    </dataValidation>
  </dataValidations>
  <hyperlinks>
    <hyperlink r:id="rId1" ref="F6"/>
    <hyperlink r:id="rId2" ref="F7"/>
    <hyperlink r:id="rId3" ref="F8"/>
    <hyperlink r:id="rId4" ref="F9"/>
    <hyperlink r:id="rId5" ref="F10"/>
    <hyperlink r:id="rId6" ref="F11"/>
    <hyperlink r:id="rId7" ref="F12"/>
    <hyperlink r:id="rId8" ref="F13"/>
    <hyperlink r:id="rId9" ref="F14"/>
    <hyperlink r:id="rId10" ref="F15"/>
  </hyperlinks>
  <drawing r:id="rId11"/>
  <tableParts count="3">
    <tablePart r:id="rId15"/>
    <tablePart r:id="rId16"/>
    <tablePart r:id="rId17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.63"/>
    <col customWidth="1" min="7" max="7" width="10.13"/>
    <col customWidth="1" min="8" max="8" width="26.13"/>
    <col customWidth="1" min="9" max="11" width="10.75"/>
    <col customWidth="1" min="12" max="12" width="11.88"/>
  </cols>
  <sheetData>
    <row r="2">
      <c r="B2" s="159" t="s">
        <v>327</v>
      </c>
    </row>
    <row r="20">
      <c r="H20" s="160" t="s">
        <v>3</v>
      </c>
      <c r="I20" s="160" t="s">
        <v>4</v>
      </c>
      <c r="J20" s="160" t="s">
        <v>36</v>
      </c>
      <c r="K20" s="160" t="s">
        <v>330</v>
      </c>
      <c r="L20" s="160" t="s">
        <v>12</v>
      </c>
    </row>
    <row r="21">
      <c r="H21" s="161" t="str">
        <f>'Scriptures Tracker'!C6</f>
        <v>Sri Rudram </v>
      </c>
      <c r="I21" s="161">
        <f>'Scriptures Tracker'!D6</f>
        <v>31</v>
      </c>
      <c r="J21" s="161">
        <f>'Scriptures Tracker'!E6</f>
        <v>0</v>
      </c>
      <c r="K21" s="161">
        <f>'Scriptures Tracker'!F6</f>
        <v>31</v>
      </c>
      <c r="L21" s="162">
        <f t="shared" ref="L21:L30" si="1">IF(K21=0, 0, I21/K21)</f>
        <v>1</v>
      </c>
    </row>
    <row r="22">
      <c r="H22" s="161" t="str">
        <f>'Scriptures Tracker'!C7</f>
        <v>Lalitha Sahasra namam</v>
      </c>
      <c r="I22" s="161">
        <f>'Scriptures Tracker'!D7</f>
        <v>44</v>
      </c>
      <c r="J22" s="161">
        <f>'Scriptures Tracker'!E7</f>
        <v>0</v>
      </c>
      <c r="K22" s="161">
        <f>'Scriptures Tracker'!F7</f>
        <v>44</v>
      </c>
      <c r="L22" s="162">
        <f t="shared" si="1"/>
        <v>1</v>
      </c>
    </row>
    <row r="23">
      <c r="H23" s="161" t="str">
        <f>'Scriptures Tracker'!C8</f>
        <v>Katha Upanishad</v>
      </c>
      <c r="I23" s="161">
        <f>'Scriptures Tracker'!D8</f>
        <v>44</v>
      </c>
      <c r="J23" s="161">
        <f>'Scriptures Tracker'!E8</f>
        <v>0</v>
      </c>
      <c r="K23" s="161">
        <f>'Scriptures Tracker'!F8</f>
        <v>44</v>
      </c>
      <c r="L23" s="162">
        <f t="shared" si="1"/>
        <v>1</v>
      </c>
    </row>
    <row r="24">
      <c r="H24" s="161" t="str">
        <f>'Scriptures Tracker'!C9</f>
        <v>Devi Bhaagavatham</v>
      </c>
      <c r="I24" s="161">
        <f>'Scriptures Tracker'!D9</f>
        <v>26</v>
      </c>
      <c r="J24" s="161">
        <f>'Scriptures Tracker'!E9</f>
        <v>0</v>
      </c>
      <c r="K24" s="161">
        <f>'Scriptures Tracker'!F9</f>
        <v>26</v>
      </c>
      <c r="L24" s="162">
        <f t="shared" si="1"/>
        <v>1</v>
      </c>
    </row>
    <row r="25">
      <c r="H25" s="161" t="str">
        <f>'Scriptures Tracker'!C10</f>
        <v>Sandhyavandhanam</v>
      </c>
      <c r="I25" s="161">
        <f>'Scriptures Tracker'!D10</f>
        <v>4</v>
      </c>
      <c r="J25" s="161">
        <f>'Scriptures Tracker'!E10</f>
        <v>6</v>
      </c>
      <c r="K25" s="161">
        <f>'Scriptures Tracker'!F10</f>
        <v>10</v>
      </c>
      <c r="L25" s="162">
        <f t="shared" si="1"/>
        <v>0.4</v>
      </c>
    </row>
    <row r="26">
      <c r="H26" s="161" t="str">
        <f>'Scriptures Tracker'!C11</f>
        <v>Sanskrit by  Swami Ved Chaitanya</v>
      </c>
      <c r="I26" s="161">
        <f>'Scriptures Tracker'!D11</f>
        <v>14</v>
      </c>
      <c r="J26" s="161">
        <f>'Scriptures Tracker'!E11</f>
        <v>81</v>
      </c>
      <c r="K26" s="161">
        <f>'Scriptures Tracker'!F11</f>
        <v>95</v>
      </c>
      <c r="L26" s="162">
        <f t="shared" si="1"/>
        <v>0.1473684211</v>
      </c>
    </row>
    <row r="27">
      <c r="H27" s="164" t="str">
        <f>'Scriptures Tracker'!C12</f>
        <v>Sootha Samhitha</v>
      </c>
      <c r="I27" s="164">
        <f>'Scriptures Tracker'!D12</f>
        <v>2</v>
      </c>
      <c r="J27" s="164">
        <f>'Scriptures Tracker'!E12</f>
        <v>14</v>
      </c>
      <c r="K27" s="164">
        <f>'Scriptures Tracker'!F12</f>
        <v>16</v>
      </c>
      <c r="L27" s="165">
        <f t="shared" si="1"/>
        <v>0.125</v>
      </c>
    </row>
    <row r="28">
      <c r="H28" s="166" t="str">
        <f>'Scriptures Tracker'!C13</f>
        <v>Bhagavadgita </v>
      </c>
      <c r="I28" s="166">
        <f>'Scriptures Tracker'!D13</f>
        <v>8</v>
      </c>
      <c r="J28" s="166">
        <f>'Scriptures Tracker'!E13</f>
        <v>35</v>
      </c>
      <c r="K28" s="166">
        <f>'Scriptures Tracker'!F13</f>
        <v>43</v>
      </c>
      <c r="L28" s="167">
        <f t="shared" si="1"/>
        <v>0.1860465116</v>
      </c>
    </row>
    <row r="29">
      <c r="H29" s="166" t="str">
        <f>'Scriptures Tracker'!C14</f>
        <v>ADITHYA HRIDAYAM</v>
      </c>
      <c r="I29" s="166">
        <f>'Scriptures Tracker'!D14</f>
        <v>0</v>
      </c>
      <c r="J29" s="166">
        <f>'Scriptures Tracker'!E14</f>
        <v>9</v>
      </c>
      <c r="K29" s="166">
        <f>'Scriptures Tracker'!F14</f>
        <v>9</v>
      </c>
      <c r="L29" s="167">
        <f t="shared" si="1"/>
        <v>0</v>
      </c>
    </row>
    <row r="30">
      <c r="H30" s="64" t="str">
        <f>'Scriptures Tracker'!C15</f>
        <v>Garuda Mahapuranam</v>
      </c>
      <c r="I30" s="64">
        <f>'Scriptures Tracker'!D15</f>
        <v>0</v>
      </c>
      <c r="J30" s="64">
        <f>'Scriptures Tracker'!E15</f>
        <v>15</v>
      </c>
      <c r="K30" s="64">
        <f>'Scriptures Tracker'!F15</f>
        <v>15</v>
      </c>
      <c r="L30" s="141">
        <f t="shared" si="1"/>
        <v>0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.75"/>
    <col customWidth="1" min="2" max="2" width="50.13"/>
    <col customWidth="1" min="3" max="3" width="20.38"/>
    <col customWidth="1" min="4" max="4" width="14.38"/>
    <col customWidth="1" min="5" max="5" width="5.25"/>
    <col customWidth="1" min="6" max="6" width="51.75"/>
  </cols>
  <sheetData>
    <row r="1" ht="6.75" customHeight="1">
      <c r="A1" s="26"/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</row>
    <row r="2">
      <c r="A2" s="26"/>
      <c r="B2" s="95" t="s">
        <v>122</v>
      </c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</row>
    <row r="3">
      <c r="A3" s="26"/>
      <c r="B3" s="26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</row>
    <row r="4">
      <c r="A4" s="26"/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</row>
    <row r="5">
      <c r="A5" s="26"/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</row>
    <row r="6">
      <c r="A6" s="26"/>
      <c r="B6" s="26"/>
      <c r="C6" s="26"/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</row>
    <row r="7">
      <c r="A7" s="26"/>
      <c r="B7" s="32" t="s">
        <v>2</v>
      </c>
      <c r="C7" s="32" t="s">
        <v>27</v>
      </c>
      <c r="D7" s="32" t="s">
        <v>28</v>
      </c>
      <c r="E7" s="32" t="s">
        <v>29</v>
      </c>
      <c r="F7" s="34" t="s">
        <v>30</v>
      </c>
      <c r="G7" s="30" t="s">
        <v>31</v>
      </c>
      <c r="H7" s="26"/>
      <c r="I7" s="35" t="s">
        <v>32</v>
      </c>
      <c r="J7" s="26"/>
      <c r="K7" s="36" t="s">
        <v>11</v>
      </c>
      <c r="L7" s="40" t="str">
        <f>IFERROR(__xludf.DUMMYFUNCTION("SPARKLINE(I8, {""charttype"",""bar"";""max"",1;""color1"",""#4CAF50""})"),"")</f>
        <v/>
      </c>
      <c r="N7" s="41" t="s">
        <v>34</v>
      </c>
      <c r="O7" s="43" t="s">
        <v>35</v>
      </c>
    </row>
    <row r="8">
      <c r="A8" s="26"/>
      <c r="B8" s="98">
        <f t="array" ref="B8:B102">SEQUENCE(95,1)</f>
        <v>1</v>
      </c>
      <c r="C8" s="44" t="s">
        <v>4</v>
      </c>
      <c r="D8" s="45">
        <v>46204.0</v>
      </c>
      <c r="E8" s="47"/>
      <c r="F8" s="49" t="s">
        <v>130</v>
      </c>
      <c r="G8" s="26"/>
      <c r="H8" s="26"/>
      <c r="I8" s="50">
        <f t="shared" ref="I8:I9" si="1">L8/$L$10</f>
        <v>0.1473684211</v>
      </c>
      <c r="J8" s="26"/>
      <c r="K8" s="51" t="s">
        <v>4</v>
      </c>
      <c r="L8" s="52">
        <f>COUNTIF(C8:C102, "Completed")</f>
        <v>14</v>
      </c>
      <c r="N8" s="53">
        <f>DATE(2026, 7, 1)</f>
        <v>46204</v>
      </c>
      <c r="O8" s="54">
        <f t="shared" ref="O8:O13" si="2">COUNTIFS($D$8:$D$102, "&gt;="&amp;N8, $D$8:$D$102, "&lt;="&amp;EOMONTH(N8, 0), $C$8:$C$102, "Completed")</f>
        <v>14</v>
      </c>
    </row>
    <row r="9">
      <c r="A9" s="26"/>
      <c r="B9" s="98">
        <v>2.0</v>
      </c>
      <c r="C9" s="44" t="s">
        <v>4</v>
      </c>
      <c r="D9" s="45">
        <v>46206.0</v>
      </c>
      <c r="E9" s="47"/>
      <c r="F9" s="49" t="s">
        <v>132</v>
      </c>
      <c r="G9" s="26"/>
      <c r="H9" s="26"/>
      <c r="I9" s="50">
        <f t="shared" si="1"/>
        <v>0.8526315789</v>
      </c>
      <c r="J9" s="26"/>
      <c r="K9" s="51" t="s">
        <v>36</v>
      </c>
      <c r="L9" s="52">
        <f>COUNTIF(C8:C102, "Pending")</f>
        <v>81</v>
      </c>
      <c r="N9" s="53">
        <f>DATE(2026, 8, 1)</f>
        <v>46235</v>
      </c>
      <c r="O9" s="54">
        <f t="shared" si="2"/>
        <v>0</v>
      </c>
    </row>
    <row r="10">
      <c r="A10" s="26"/>
      <c r="B10" s="98">
        <v>3.0</v>
      </c>
      <c r="C10" s="44" t="s">
        <v>4</v>
      </c>
      <c r="D10" s="45">
        <v>46206.0</v>
      </c>
      <c r="E10" s="47"/>
      <c r="F10" s="49" t="s">
        <v>133</v>
      </c>
      <c r="G10" s="26"/>
      <c r="H10" s="26"/>
      <c r="I10" s="26"/>
      <c r="J10" s="26"/>
      <c r="K10" s="51" t="s">
        <v>49</v>
      </c>
      <c r="L10" s="52">
        <f>COUNT(B8:B102)</f>
        <v>95</v>
      </c>
      <c r="M10" s="56"/>
      <c r="N10" s="53">
        <f>DATE(2026, 9, 1)</f>
        <v>46266</v>
      </c>
      <c r="O10" s="54">
        <f t="shared" si="2"/>
        <v>0</v>
      </c>
    </row>
    <row r="11">
      <c r="A11" s="26"/>
      <c r="B11" s="98">
        <v>4.0</v>
      </c>
      <c r="C11" s="44" t="s">
        <v>4</v>
      </c>
      <c r="D11" s="45">
        <v>46208.0</v>
      </c>
      <c r="E11" s="47"/>
      <c r="F11" s="49" t="s">
        <v>135</v>
      </c>
      <c r="G11" s="26"/>
      <c r="H11" s="26"/>
      <c r="I11" s="26"/>
      <c r="J11" s="26"/>
      <c r="K11" s="51" t="s">
        <v>53</v>
      </c>
      <c r="L11" s="58">
        <f>SUM(G8:G102)</f>
        <v>0</v>
      </c>
      <c r="M11" s="56"/>
      <c r="N11" s="53">
        <f>DATE(2026, 10, 1)</f>
        <v>46296</v>
      </c>
      <c r="O11" s="54">
        <f t="shared" si="2"/>
        <v>0</v>
      </c>
    </row>
    <row r="12">
      <c r="A12" s="26"/>
      <c r="B12" s="98">
        <v>5.0</v>
      </c>
      <c r="C12" s="44" t="s">
        <v>4</v>
      </c>
      <c r="D12" s="45">
        <v>46209.0</v>
      </c>
      <c r="E12" s="47"/>
      <c r="F12" s="49" t="s">
        <v>136</v>
      </c>
      <c r="G12" s="26"/>
      <c r="H12" s="26"/>
      <c r="I12" s="26"/>
      <c r="J12" s="26"/>
      <c r="K12" s="51" t="s">
        <v>58</v>
      </c>
      <c r="L12" s="58">
        <f>SUMIF(C8:C102, "Pending", G8:G102)</f>
        <v>0</v>
      </c>
      <c r="M12" s="56"/>
      <c r="N12" s="53">
        <f>DATE(2026, 11, 1)</f>
        <v>46327</v>
      </c>
      <c r="O12" s="54">
        <f t="shared" si="2"/>
        <v>0</v>
      </c>
    </row>
    <row r="13">
      <c r="A13" s="26"/>
      <c r="B13" s="98">
        <v>6.0</v>
      </c>
      <c r="C13" s="44" t="s">
        <v>4</v>
      </c>
      <c r="D13" s="45">
        <v>46210.0</v>
      </c>
      <c r="E13" s="47"/>
      <c r="F13" s="49" t="s">
        <v>138</v>
      </c>
      <c r="G13" s="26"/>
      <c r="H13" s="26"/>
      <c r="I13" s="26"/>
      <c r="J13" s="26"/>
      <c r="K13" s="51" t="s">
        <v>7</v>
      </c>
      <c r="L13" s="61"/>
      <c r="M13" s="56"/>
      <c r="N13" s="53">
        <f>DATE(2026, 12, 1)</f>
        <v>46357</v>
      </c>
      <c r="O13" s="54">
        <f t="shared" si="2"/>
        <v>0</v>
      </c>
    </row>
    <row r="14">
      <c r="A14" s="26"/>
      <c r="B14" s="98">
        <v>7.0</v>
      </c>
      <c r="C14" s="44" t="s">
        <v>4</v>
      </c>
      <c r="D14" s="45">
        <v>46211.0</v>
      </c>
      <c r="E14" s="47"/>
      <c r="F14" s="49" t="s">
        <v>140</v>
      </c>
      <c r="G14" s="26"/>
      <c r="H14" s="26"/>
      <c r="I14" s="26"/>
      <c r="J14" s="26"/>
      <c r="K14" s="51" t="s">
        <v>67</v>
      </c>
      <c r="L14" s="61"/>
      <c r="M14" s="56"/>
      <c r="N14" s="66"/>
      <c r="O14" s="26"/>
    </row>
    <row r="15">
      <c r="A15" s="26"/>
      <c r="B15" s="98">
        <v>8.0</v>
      </c>
      <c r="C15" s="44" t="s">
        <v>4</v>
      </c>
      <c r="D15" s="45">
        <v>46212.0</v>
      </c>
      <c r="E15" s="47"/>
      <c r="F15" s="49" t="s">
        <v>141</v>
      </c>
      <c r="G15" s="26"/>
      <c r="H15" s="26"/>
      <c r="I15" s="26"/>
      <c r="J15" s="26"/>
      <c r="K15" s="56"/>
      <c r="L15" s="56"/>
      <c r="M15" s="56"/>
      <c r="N15" s="66"/>
      <c r="O15" s="26"/>
    </row>
    <row r="16">
      <c r="A16" s="26"/>
      <c r="B16" s="98">
        <v>9.0</v>
      </c>
      <c r="C16" s="44" t="s">
        <v>4</v>
      </c>
      <c r="D16" s="45">
        <v>46212.0</v>
      </c>
      <c r="E16" s="47"/>
      <c r="F16" s="49" t="s">
        <v>143</v>
      </c>
      <c r="G16" s="26"/>
      <c r="H16" s="26"/>
      <c r="I16" s="26"/>
      <c r="J16" s="26"/>
      <c r="K16" s="67" t="s">
        <v>73</v>
      </c>
      <c r="L16" s="67" t="s">
        <v>4</v>
      </c>
      <c r="M16" s="67" t="s">
        <v>36</v>
      </c>
      <c r="N16" s="66"/>
      <c r="O16" s="26"/>
    </row>
    <row r="17">
      <c r="A17" s="26"/>
      <c r="B17" s="98">
        <v>10.0</v>
      </c>
      <c r="C17" s="44" t="s">
        <v>4</v>
      </c>
      <c r="D17" s="45">
        <v>46213.0</v>
      </c>
      <c r="E17" s="47"/>
      <c r="F17" s="49" t="s">
        <v>145</v>
      </c>
      <c r="G17" s="26"/>
      <c r="H17" s="26"/>
      <c r="I17" s="26"/>
      <c r="J17" s="26"/>
      <c r="K17" s="67" t="s">
        <v>75</v>
      </c>
      <c r="L17" s="69">
        <f>L8</f>
        <v>14</v>
      </c>
      <c r="M17" s="69">
        <f>L9</f>
        <v>81</v>
      </c>
      <c r="N17" s="66"/>
      <c r="O17" s="26"/>
    </row>
    <row r="18">
      <c r="A18" s="26"/>
      <c r="B18" s="98">
        <v>11.0</v>
      </c>
      <c r="C18" s="44" t="s">
        <v>4</v>
      </c>
      <c r="D18" s="45">
        <v>46215.0</v>
      </c>
      <c r="E18" s="47"/>
      <c r="F18" s="49" t="s">
        <v>147</v>
      </c>
      <c r="G18" s="26"/>
      <c r="H18" s="26"/>
      <c r="I18" s="26"/>
      <c r="J18" s="26"/>
      <c r="K18" s="26"/>
      <c r="L18" s="26"/>
      <c r="M18" s="26"/>
      <c r="N18" s="70"/>
      <c r="O18" s="26"/>
    </row>
    <row r="19">
      <c r="A19" s="26"/>
      <c r="B19" s="98">
        <v>12.0</v>
      </c>
      <c r="C19" s="44" t="s">
        <v>4</v>
      </c>
      <c r="D19" s="45">
        <v>46216.0</v>
      </c>
      <c r="E19" s="47"/>
      <c r="F19" s="49" t="s">
        <v>149</v>
      </c>
      <c r="G19" s="26"/>
      <c r="H19" s="26"/>
      <c r="I19" s="26"/>
      <c r="J19" s="26"/>
      <c r="K19" s="26"/>
      <c r="L19" s="26"/>
      <c r="M19" s="26"/>
      <c r="N19" s="70"/>
      <c r="O19" s="26"/>
    </row>
    <row r="20">
      <c r="A20" s="26"/>
      <c r="B20" s="98">
        <v>13.0</v>
      </c>
      <c r="C20" s="44" t="s">
        <v>4</v>
      </c>
      <c r="D20" s="45">
        <v>46217.0</v>
      </c>
      <c r="E20" s="47"/>
      <c r="F20" s="49" t="s">
        <v>151</v>
      </c>
      <c r="G20" s="26"/>
      <c r="H20" s="26"/>
      <c r="I20" s="26"/>
      <c r="J20" s="26"/>
      <c r="K20" s="26"/>
      <c r="L20" s="26"/>
      <c r="M20" s="26"/>
      <c r="N20" s="70"/>
      <c r="O20" s="26"/>
    </row>
    <row r="21">
      <c r="A21" s="26"/>
      <c r="B21" s="98">
        <v>14.0</v>
      </c>
      <c r="C21" s="44" t="s">
        <v>4</v>
      </c>
      <c r="D21" s="45">
        <v>46219.0</v>
      </c>
      <c r="E21" s="47"/>
      <c r="F21" s="49" t="s">
        <v>153</v>
      </c>
      <c r="G21" s="26"/>
      <c r="H21" s="26"/>
      <c r="I21" s="26"/>
      <c r="J21" s="26"/>
      <c r="K21" s="26"/>
      <c r="L21" s="26"/>
      <c r="M21" s="26"/>
      <c r="N21" s="70"/>
      <c r="O21" s="26"/>
    </row>
    <row r="22">
      <c r="A22" s="26"/>
      <c r="B22" s="98">
        <v>15.0</v>
      </c>
      <c r="C22" s="44" t="s">
        <v>36</v>
      </c>
      <c r="D22" s="118"/>
      <c r="E22" s="47"/>
      <c r="F22" s="49" t="s">
        <v>158</v>
      </c>
      <c r="G22" s="26"/>
      <c r="H22" s="26"/>
      <c r="I22" s="26"/>
      <c r="J22" s="26"/>
      <c r="K22" s="26"/>
      <c r="L22" s="26"/>
      <c r="M22" s="26"/>
      <c r="N22" s="70"/>
      <c r="O22" s="26"/>
    </row>
    <row r="23">
      <c r="A23" s="26"/>
      <c r="B23" s="98">
        <v>16.0</v>
      </c>
      <c r="C23" s="44" t="s">
        <v>36</v>
      </c>
      <c r="D23" s="118"/>
      <c r="E23" s="47"/>
      <c r="F23" s="49" t="s">
        <v>161</v>
      </c>
      <c r="G23" s="26"/>
      <c r="H23" s="26"/>
      <c r="I23" s="26"/>
      <c r="J23" s="26"/>
      <c r="K23" s="26"/>
      <c r="L23" s="26"/>
      <c r="M23" s="26"/>
      <c r="N23" s="70"/>
      <c r="O23" s="26"/>
    </row>
    <row r="24">
      <c r="A24" s="26"/>
      <c r="B24" s="98">
        <v>17.0</v>
      </c>
      <c r="C24" s="44" t="s">
        <v>36</v>
      </c>
      <c r="D24" s="118"/>
      <c r="E24" s="47"/>
      <c r="F24" s="49" t="s">
        <v>163</v>
      </c>
      <c r="G24" s="26"/>
      <c r="H24" s="26"/>
      <c r="I24" s="26"/>
      <c r="J24" s="26"/>
      <c r="K24" s="26"/>
      <c r="L24" s="26"/>
      <c r="M24" s="26"/>
      <c r="N24" s="70"/>
      <c r="O24" s="26"/>
    </row>
    <row r="25">
      <c r="A25" s="26"/>
      <c r="B25" s="98">
        <v>18.0</v>
      </c>
      <c r="C25" s="44" t="s">
        <v>36</v>
      </c>
      <c r="D25" s="118"/>
      <c r="E25" s="47"/>
      <c r="F25" s="49" t="s">
        <v>165</v>
      </c>
      <c r="G25" s="26"/>
      <c r="H25" s="26"/>
      <c r="I25" s="26"/>
      <c r="J25" s="26"/>
      <c r="K25" s="26"/>
      <c r="L25" s="26"/>
      <c r="M25" s="26"/>
      <c r="N25" s="70"/>
      <c r="O25" s="26"/>
    </row>
    <row r="26">
      <c r="A26" s="26"/>
      <c r="B26" s="98">
        <v>19.0</v>
      </c>
      <c r="C26" s="44" t="s">
        <v>36</v>
      </c>
      <c r="D26" s="118"/>
      <c r="E26" s="47"/>
      <c r="F26" s="49" t="s">
        <v>166</v>
      </c>
      <c r="G26" s="26"/>
      <c r="H26" s="26"/>
      <c r="I26" s="26"/>
      <c r="J26" s="26"/>
      <c r="K26" s="26"/>
      <c r="L26" s="26"/>
      <c r="M26" s="26"/>
      <c r="N26" s="70"/>
      <c r="O26" s="26"/>
    </row>
    <row r="27">
      <c r="A27" s="26"/>
      <c r="B27" s="98">
        <v>20.0</v>
      </c>
      <c r="C27" s="44" t="s">
        <v>36</v>
      </c>
      <c r="D27" s="118"/>
      <c r="E27" s="47"/>
      <c r="F27" s="49" t="s">
        <v>169</v>
      </c>
      <c r="G27" s="26"/>
      <c r="H27" s="26"/>
      <c r="I27" s="26"/>
      <c r="J27" s="26"/>
      <c r="K27" s="26"/>
      <c r="L27" s="26"/>
      <c r="M27" s="26"/>
      <c r="N27" s="70"/>
      <c r="O27" s="26"/>
    </row>
    <row r="28">
      <c r="A28" s="26"/>
      <c r="B28" s="98">
        <v>21.0</v>
      </c>
      <c r="C28" s="44" t="s">
        <v>36</v>
      </c>
      <c r="D28" s="118"/>
      <c r="E28" s="47"/>
      <c r="F28" s="49" t="s">
        <v>170</v>
      </c>
      <c r="G28" s="26"/>
      <c r="H28" s="26"/>
      <c r="I28" s="26"/>
      <c r="J28" s="26"/>
      <c r="K28" s="26"/>
      <c r="L28" s="26"/>
      <c r="M28" s="26"/>
      <c r="N28" s="70"/>
      <c r="O28" s="26"/>
    </row>
    <row r="29">
      <c r="A29" s="26"/>
      <c r="B29" s="98">
        <v>22.0</v>
      </c>
      <c r="C29" s="44" t="s">
        <v>36</v>
      </c>
      <c r="D29" s="118"/>
      <c r="E29" s="47"/>
      <c r="F29" s="49" t="s">
        <v>172</v>
      </c>
      <c r="G29" s="26"/>
      <c r="H29" s="26"/>
      <c r="I29" s="26"/>
      <c r="J29" s="26"/>
      <c r="K29" s="26"/>
      <c r="L29" s="26"/>
      <c r="M29" s="26"/>
      <c r="N29" s="70"/>
      <c r="O29" s="26"/>
    </row>
    <row r="30">
      <c r="A30" s="26"/>
      <c r="B30" s="98">
        <v>23.0</v>
      </c>
      <c r="C30" s="44" t="s">
        <v>36</v>
      </c>
      <c r="D30" s="118"/>
      <c r="E30" s="47"/>
      <c r="F30" s="49" t="s">
        <v>173</v>
      </c>
      <c r="G30" s="26"/>
      <c r="H30" s="26"/>
      <c r="I30" s="26"/>
      <c r="J30" s="26"/>
      <c r="K30" s="26"/>
      <c r="L30" s="26"/>
      <c r="M30" s="26"/>
      <c r="N30" s="70"/>
      <c r="O30" s="26"/>
    </row>
    <row r="31">
      <c r="A31" s="26"/>
      <c r="B31" s="98">
        <v>24.0</v>
      </c>
      <c r="C31" s="44" t="s">
        <v>36</v>
      </c>
      <c r="D31" s="118"/>
      <c r="E31" s="47"/>
      <c r="F31" s="49" t="s">
        <v>174</v>
      </c>
      <c r="G31" s="26"/>
      <c r="H31" s="26"/>
      <c r="I31" s="26"/>
      <c r="J31" s="26"/>
      <c r="K31" s="26"/>
      <c r="L31" s="26"/>
      <c r="M31" s="26"/>
      <c r="N31" s="70"/>
      <c r="O31" s="26"/>
    </row>
    <row r="32">
      <c r="A32" s="26"/>
      <c r="B32" s="98">
        <v>25.0</v>
      </c>
      <c r="C32" s="44" t="s">
        <v>36</v>
      </c>
      <c r="D32" s="118"/>
      <c r="E32" s="47"/>
      <c r="F32" s="49" t="s">
        <v>177</v>
      </c>
      <c r="G32" s="26"/>
      <c r="H32" s="26"/>
      <c r="I32" s="26"/>
      <c r="J32" s="26"/>
      <c r="K32" s="26"/>
      <c r="L32" s="26"/>
      <c r="M32" s="26"/>
      <c r="N32" s="70"/>
      <c r="O32" s="26"/>
    </row>
    <row r="33">
      <c r="A33" s="26"/>
      <c r="B33" s="98">
        <v>26.0</v>
      </c>
      <c r="C33" s="44" t="s">
        <v>36</v>
      </c>
      <c r="D33" s="118"/>
      <c r="E33" s="47"/>
      <c r="F33" s="49" t="s">
        <v>178</v>
      </c>
      <c r="G33" s="26"/>
      <c r="H33" s="26"/>
      <c r="I33" s="26"/>
      <c r="J33" s="26"/>
      <c r="K33" s="26"/>
      <c r="L33" s="26"/>
      <c r="M33" s="26"/>
      <c r="N33" s="70"/>
      <c r="O33" s="26"/>
    </row>
    <row r="34">
      <c r="A34" s="26"/>
      <c r="B34" s="98">
        <v>27.0</v>
      </c>
      <c r="C34" s="44" t="s">
        <v>36</v>
      </c>
      <c r="D34" s="118"/>
      <c r="E34" s="47"/>
      <c r="F34" s="49" t="s">
        <v>182</v>
      </c>
      <c r="G34" s="26"/>
      <c r="H34" s="26"/>
      <c r="I34" s="26"/>
      <c r="J34" s="26"/>
      <c r="K34" s="26"/>
      <c r="L34" s="26"/>
      <c r="M34" s="26"/>
      <c r="N34" s="70"/>
      <c r="O34" s="26"/>
    </row>
    <row r="35">
      <c r="A35" s="26"/>
      <c r="B35" s="98">
        <v>28.0</v>
      </c>
      <c r="C35" s="44" t="s">
        <v>36</v>
      </c>
      <c r="D35" s="118"/>
      <c r="E35" s="47"/>
      <c r="F35" s="49" t="s">
        <v>183</v>
      </c>
      <c r="G35" s="26"/>
      <c r="H35" s="26"/>
      <c r="I35" s="26"/>
      <c r="J35" s="26"/>
      <c r="K35" s="26"/>
      <c r="L35" s="26"/>
      <c r="M35" s="26"/>
      <c r="N35" s="70"/>
      <c r="O35" s="26"/>
    </row>
    <row r="36">
      <c r="A36" s="26"/>
      <c r="B36" s="98">
        <v>29.0</v>
      </c>
      <c r="C36" s="44" t="s">
        <v>36</v>
      </c>
      <c r="D36" s="118"/>
      <c r="E36" s="47"/>
      <c r="F36" s="49" t="s">
        <v>185</v>
      </c>
      <c r="G36" s="26"/>
      <c r="H36" s="26"/>
      <c r="I36" s="26"/>
      <c r="J36" s="26"/>
      <c r="K36" s="26"/>
      <c r="L36" s="26"/>
      <c r="M36" s="26"/>
      <c r="N36" s="70"/>
      <c r="O36" s="26"/>
    </row>
    <row r="37">
      <c r="A37" s="26"/>
      <c r="B37" s="98">
        <v>30.0</v>
      </c>
      <c r="C37" s="44" t="s">
        <v>36</v>
      </c>
      <c r="D37" s="118"/>
      <c r="E37" s="47"/>
      <c r="F37" s="49" t="s">
        <v>187</v>
      </c>
      <c r="G37" s="26"/>
      <c r="H37" s="26"/>
      <c r="I37" s="26"/>
      <c r="J37" s="26"/>
      <c r="K37" s="26"/>
      <c r="L37" s="26"/>
      <c r="M37" s="26"/>
      <c r="N37" s="70"/>
      <c r="O37" s="26"/>
    </row>
    <row r="38">
      <c r="A38" s="26"/>
      <c r="B38" s="98">
        <v>31.0</v>
      </c>
      <c r="C38" s="44" t="s">
        <v>36</v>
      </c>
      <c r="D38" s="118"/>
      <c r="E38" s="47"/>
      <c r="F38" s="49" t="s">
        <v>190</v>
      </c>
      <c r="G38" s="26"/>
      <c r="H38" s="26"/>
      <c r="I38" s="26"/>
      <c r="J38" s="26"/>
      <c r="K38" s="26"/>
      <c r="L38" s="26"/>
      <c r="M38" s="26"/>
      <c r="N38" s="70"/>
      <c r="O38" s="26"/>
    </row>
    <row r="39">
      <c r="A39" s="26"/>
      <c r="B39" s="98">
        <v>32.0</v>
      </c>
      <c r="C39" s="44" t="s">
        <v>36</v>
      </c>
      <c r="D39" s="118"/>
      <c r="E39" s="47"/>
      <c r="F39" s="49" t="s">
        <v>192</v>
      </c>
      <c r="G39" s="26"/>
      <c r="H39" s="26"/>
      <c r="I39" s="26"/>
      <c r="J39" s="26"/>
      <c r="K39" s="26"/>
      <c r="L39" s="26"/>
      <c r="M39" s="26"/>
      <c r="N39" s="70"/>
      <c r="O39" s="26"/>
    </row>
    <row r="40">
      <c r="A40" s="26"/>
      <c r="B40" s="98">
        <v>33.0</v>
      </c>
      <c r="C40" s="44" t="s">
        <v>36</v>
      </c>
      <c r="D40" s="118"/>
      <c r="E40" s="47"/>
      <c r="F40" s="49" t="s">
        <v>194</v>
      </c>
      <c r="G40" s="26"/>
      <c r="H40" s="26"/>
      <c r="I40" s="26"/>
      <c r="J40" s="26"/>
      <c r="K40" s="26"/>
      <c r="L40" s="26"/>
      <c r="M40" s="26"/>
      <c r="N40" s="70"/>
      <c r="O40" s="26"/>
    </row>
    <row r="41">
      <c r="A41" s="26"/>
      <c r="B41" s="98">
        <v>34.0</v>
      </c>
      <c r="C41" s="44" t="s">
        <v>36</v>
      </c>
      <c r="D41" s="118"/>
      <c r="E41" s="47"/>
      <c r="F41" s="49" t="s">
        <v>196</v>
      </c>
      <c r="G41" s="26"/>
      <c r="H41" s="26"/>
      <c r="I41" s="26"/>
      <c r="J41" s="26"/>
      <c r="K41" s="26"/>
      <c r="L41" s="26"/>
      <c r="M41" s="26"/>
      <c r="N41" s="70"/>
      <c r="O41" s="26"/>
    </row>
    <row r="42">
      <c r="A42" s="26"/>
      <c r="B42" s="98">
        <v>35.0</v>
      </c>
      <c r="C42" s="44" t="s">
        <v>36</v>
      </c>
      <c r="D42" s="118"/>
      <c r="E42" s="47"/>
      <c r="F42" s="49" t="s">
        <v>198</v>
      </c>
      <c r="G42" s="26"/>
      <c r="H42" s="26"/>
      <c r="I42" s="26"/>
      <c r="J42" s="26"/>
      <c r="K42" s="26"/>
      <c r="L42" s="26"/>
      <c r="M42" s="26"/>
      <c r="N42" s="70"/>
      <c r="O42" s="26"/>
    </row>
    <row r="43">
      <c r="A43" s="26"/>
      <c r="B43" s="98">
        <v>36.0</v>
      </c>
      <c r="C43" s="44" t="s">
        <v>36</v>
      </c>
      <c r="D43" s="118"/>
      <c r="E43" s="47"/>
      <c r="F43" s="49" t="s">
        <v>199</v>
      </c>
      <c r="G43" s="26"/>
      <c r="H43" s="26"/>
      <c r="I43" s="26"/>
      <c r="J43" s="26"/>
      <c r="K43" s="26"/>
      <c r="L43" s="26"/>
      <c r="M43" s="26"/>
      <c r="N43" s="70"/>
      <c r="O43" s="26"/>
    </row>
    <row r="44">
      <c r="A44" s="26"/>
      <c r="B44" s="98">
        <v>37.0</v>
      </c>
      <c r="C44" s="44" t="s">
        <v>36</v>
      </c>
      <c r="D44" s="118"/>
      <c r="E44" s="47"/>
      <c r="F44" s="49" t="s">
        <v>202</v>
      </c>
      <c r="G44" s="26"/>
      <c r="H44" s="26"/>
      <c r="I44" s="26"/>
      <c r="J44" s="26"/>
      <c r="K44" s="26"/>
      <c r="L44" s="26"/>
      <c r="M44" s="26"/>
      <c r="N44" s="70"/>
      <c r="O44" s="26"/>
    </row>
    <row r="45">
      <c r="A45" s="26"/>
      <c r="B45" s="98">
        <v>38.0</v>
      </c>
      <c r="C45" s="44" t="s">
        <v>36</v>
      </c>
      <c r="D45" s="118"/>
      <c r="E45" s="47"/>
      <c r="F45" s="49" t="s">
        <v>204</v>
      </c>
      <c r="G45" s="26"/>
      <c r="H45" s="26"/>
      <c r="I45" s="26"/>
      <c r="J45" s="26"/>
      <c r="K45" s="26"/>
      <c r="L45" s="26"/>
      <c r="M45" s="26"/>
      <c r="N45" s="70"/>
      <c r="O45" s="26"/>
    </row>
    <row r="46">
      <c r="A46" s="26"/>
      <c r="B46" s="98">
        <v>39.0</v>
      </c>
      <c r="C46" s="44" t="s">
        <v>36</v>
      </c>
      <c r="D46" s="118"/>
      <c r="E46" s="47"/>
      <c r="F46" s="49" t="s">
        <v>206</v>
      </c>
      <c r="G46" s="26"/>
      <c r="H46" s="26"/>
      <c r="I46" s="26"/>
      <c r="J46" s="26"/>
      <c r="K46" s="26"/>
      <c r="L46" s="26"/>
      <c r="M46" s="26"/>
      <c r="N46" s="70"/>
      <c r="O46" s="26"/>
    </row>
    <row r="47">
      <c r="A47" s="26"/>
      <c r="B47" s="98">
        <v>40.0</v>
      </c>
      <c r="C47" s="44" t="s">
        <v>36</v>
      </c>
      <c r="D47" s="118"/>
      <c r="E47" s="47"/>
      <c r="F47" s="49" t="s">
        <v>209</v>
      </c>
      <c r="G47" s="26"/>
      <c r="H47" s="26"/>
      <c r="I47" s="26"/>
      <c r="J47" s="26"/>
      <c r="K47" s="26"/>
      <c r="L47" s="26"/>
      <c r="M47" s="26"/>
      <c r="N47" s="70"/>
      <c r="O47" s="26"/>
    </row>
    <row r="48">
      <c r="A48" s="26"/>
      <c r="B48" s="98">
        <v>41.0</v>
      </c>
      <c r="C48" s="44" t="s">
        <v>36</v>
      </c>
      <c r="D48" s="118"/>
      <c r="E48" s="47"/>
      <c r="F48" s="49" t="s">
        <v>212</v>
      </c>
      <c r="G48" s="26"/>
      <c r="H48" s="26"/>
      <c r="I48" s="26"/>
      <c r="J48" s="26"/>
      <c r="K48" s="26"/>
      <c r="L48" s="26"/>
      <c r="M48" s="26"/>
      <c r="N48" s="70"/>
      <c r="O48" s="26"/>
    </row>
    <row r="49">
      <c r="A49" s="26"/>
      <c r="B49" s="98">
        <v>42.0</v>
      </c>
      <c r="C49" s="44" t="s">
        <v>36</v>
      </c>
      <c r="D49" s="118"/>
      <c r="E49" s="47"/>
      <c r="F49" s="49" t="s">
        <v>215</v>
      </c>
      <c r="G49" s="26"/>
      <c r="H49" s="26"/>
      <c r="I49" s="26"/>
      <c r="J49" s="26"/>
      <c r="K49" s="26"/>
      <c r="L49" s="26"/>
      <c r="M49" s="26"/>
      <c r="N49" s="70"/>
      <c r="O49" s="26"/>
    </row>
    <row r="50">
      <c r="A50" s="26"/>
      <c r="B50" s="98">
        <v>43.0</v>
      </c>
      <c r="C50" s="44" t="s">
        <v>36</v>
      </c>
      <c r="D50" s="118"/>
      <c r="E50" s="47"/>
      <c r="F50" s="49" t="s">
        <v>218</v>
      </c>
      <c r="G50" s="26"/>
      <c r="H50" s="26"/>
      <c r="I50" s="26"/>
      <c r="J50" s="26"/>
      <c r="K50" s="26"/>
      <c r="L50" s="26"/>
      <c r="M50" s="26"/>
      <c r="N50" s="70"/>
      <c r="O50" s="26"/>
    </row>
    <row r="51">
      <c r="A51" s="26"/>
      <c r="B51" s="98">
        <v>44.0</v>
      </c>
      <c r="C51" s="44" t="s">
        <v>36</v>
      </c>
      <c r="D51" s="118"/>
      <c r="E51" s="47"/>
      <c r="F51" s="49" t="s">
        <v>221</v>
      </c>
      <c r="G51" s="26"/>
      <c r="H51" s="26"/>
      <c r="I51" s="26"/>
      <c r="J51" s="26"/>
      <c r="K51" s="26"/>
      <c r="L51" s="26"/>
      <c r="M51" s="26"/>
      <c r="N51" s="70"/>
      <c r="O51" s="26"/>
    </row>
    <row r="52">
      <c r="A52" s="26"/>
      <c r="B52" s="98">
        <v>45.0</v>
      </c>
      <c r="C52" s="44" t="s">
        <v>36</v>
      </c>
      <c r="D52" s="118"/>
      <c r="E52" s="47"/>
      <c r="F52" s="49" t="s">
        <v>224</v>
      </c>
      <c r="G52" s="26"/>
      <c r="H52" s="26"/>
      <c r="I52" s="26"/>
      <c r="J52" s="26"/>
      <c r="K52" s="26"/>
      <c r="L52" s="26"/>
      <c r="M52" s="26"/>
      <c r="N52" s="70"/>
      <c r="O52" s="26"/>
    </row>
    <row r="53">
      <c r="A53" s="26"/>
      <c r="B53" s="98">
        <v>46.0</v>
      </c>
      <c r="C53" s="44" t="s">
        <v>36</v>
      </c>
      <c r="D53" s="118"/>
      <c r="E53" s="47"/>
      <c r="F53" s="49" t="s">
        <v>227</v>
      </c>
      <c r="G53" s="26"/>
      <c r="H53" s="26"/>
      <c r="I53" s="26"/>
      <c r="J53" s="26"/>
      <c r="K53" s="26"/>
      <c r="L53" s="26"/>
      <c r="M53" s="26"/>
      <c r="N53" s="70"/>
      <c r="O53" s="26"/>
    </row>
    <row r="54">
      <c r="A54" s="26"/>
      <c r="B54" s="98">
        <v>47.0</v>
      </c>
      <c r="C54" s="44" t="s">
        <v>36</v>
      </c>
      <c r="D54" s="118"/>
      <c r="E54" s="47"/>
      <c r="F54" s="49" t="s">
        <v>229</v>
      </c>
      <c r="G54" s="26"/>
      <c r="H54" s="26"/>
      <c r="I54" s="26"/>
      <c r="J54" s="26"/>
      <c r="K54" s="26"/>
      <c r="L54" s="26"/>
      <c r="M54" s="26"/>
      <c r="N54" s="70"/>
      <c r="O54" s="26"/>
    </row>
    <row r="55">
      <c r="A55" s="26"/>
      <c r="B55" s="98">
        <v>48.0</v>
      </c>
      <c r="C55" s="44" t="s">
        <v>36</v>
      </c>
      <c r="D55" s="118"/>
      <c r="E55" s="47"/>
      <c r="F55" s="49" t="s">
        <v>231</v>
      </c>
      <c r="G55" s="26"/>
      <c r="H55" s="26"/>
      <c r="I55" s="26"/>
      <c r="J55" s="26"/>
      <c r="K55" s="26"/>
      <c r="L55" s="26"/>
      <c r="M55" s="26"/>
      <c r="N55" s="70"/>
      <c r="O55" s="26"/>
    </row>
    <row r="56">
      <c r="A56" s="26"/>
      <c r="B56" s="98">
        <v>49.0</v>
      </c>
      <c r="C56" s="44" t="s">
        <v>36</v>
      </c>
      <c r="D56" s="118"/>
      <c r="E56" s="47"/>
      <c r="F56" s="49" t="s">
        <v>234</v>
      </c>
      <c r="G56" s="26"/>
      <c r="H56" s="26"/>
      <c r="I56" s="26"/>
      <c r="J56" s="26"/>
      <c r="K56" s="26"/>
      <c r="L56" s="26"/>
      <c r="M56" s="26"/>
      <c r="N56" s="70"/>
      <c r="O56" s="26"/>
    </row>
    <row r="57">
      <c r="A57" s="26"/>
      <c r="B57" s="98">
        <v>50.0</v>
      </c>
      <c r="C57" s="44" t="s">
        <v>36</v>
      </c>
      <c r="D57" s="118"/>
      <c r="E57" s="47"/>
      <c r="F57" s="49" t="s">
        <v>236</v>
      </c>
      <c r="G57" s="26"/>
      <c r="H57" s="26"/>
      <c r="I57" s="26"/>
      <c r="J57" s="26"/>
      <c r="K57" s="26"/>
      <c r="L57" s="26"/>
      <c r="M57" s="26"/>
      <c r="N57" s="70"/>
      <c r="O57" s="26"/>
    </row>
    <row r="58">
      <c r="A58" s="26"/>
      <c r="B58" s="98">
        <v>51.0</v>
      </c>
      <c r="C58" s="44" t="s">
        <v>36</v>
      </c>
      <c r="D58" s="118"/>
      <c r="E58" s="47"/>
      <c r="F58" s="49" t="s">
        <v>238</v>
      </c>
      <c r="G58" s="26"/>
      <c r="H58" s="26"/>
      <c r="I58" s="26"/>
      <c r="J58" s="26"/>
      <c r="K58" s="26"/>
      <c r="L58" s="26"/>
      <c r="M58" s="26"/>
      <c r="N58" s="70"/>
      <c r="O58" s="26"/>
    </row>
    <row r="59">
      <c r="A59" s="26"/>
      <c r="B59" s="98">
        <v>52.0</v>
      </c>
      <c r="C59" s="44" t="s">
        <v>36</v>
      </c>
      <c r="D59" s="118"/>
      <c r="E59" s="47"/>
      <c r="F59" s="49" t="s">
        <v>241</v>
      </c>
      <c r="G59" s="26"/>
      <c r="H59" s="26"/>
      <c r="I59" s="26"/>
      <c r="J59" s="26"/>
      <c r="K59" s="26"/>
      <c r="L59" s="26"/>
      <c r="M59" s="26"/>
      <c r="N59" s="70"/>
      <c r="O59" s="26"/>
    </row>
    <row r="60">
      <c r="A60" s="26"/>
      <c r="B60" s="98">
        <v>53.0</v>
      </c>
      <c r="C60" s="44" t="s">
        <v>36</v>
      </c>
      <c r="D60" s="118"/>
      <c r="E60" s="47"/>
      <c r="F60" s="49" t="s">
        <v>244</v>
      </c>
      <c r="G60" s="26"/>
      <c r="H60" s="26"/>
      <c r="I60" s="26"/>
      <c r="J60" s="26"/>
      <c r="K60" s="26"/>
      <c r="L60" s="26"/>
      <c r="M60" s="26"/>
      <c r="N60" s="70"/>
      <c r="O60" s="26"/>
    </row>
    <row r="61">
      <c r="A61" s="26"/>
      <c r="B61" s="98">
        <v>54.0</v>
      </c>
      <c r="C61" s="44" t="s">
        <v>36</v>
      </c>
      <c r="D61" s="118"/>
      <c r="E61" s="47"/>
      <c r="F61" s="49" t="s">
        <v>246</v>
      </c>
      <c r="G61" s="26"/>
      <c r="H61" s="26"/>
      <c r="I61" s="26"/>
      <c r="J61" s="26"/>
      <c r="K61" s="26"/>
      <c r="L61" s="26"/>
      <c r="M61" s="26"/>
      <c r="N61" s="70"/>
      <c r="O61" s="26"/>
    </row>
    <row r="62">
      <c r="A62" s="26"/>
      <c r="B62" s="98">
        <v>55.0</v>
      </c>
      <c r="C62" s="44" t="s">
        <v>36</v>
      </c>
      <c r="D62" s="118"/>
      <c r="E62" s="47"/>
      <c r="F62" s="49" t="s">
        <v>249</v>
      </c>
      <c r="G62" s="26"/>
      <c r="H62" s="26"/>
      <c r="I62" s="26"/>
      <c r="J62" s="26"/>
      <c r="K62" s="26"/>
      <c r="L62" s="26"/>
      <c r="M62" s="26"/>
      <c r="N62" s="70"/>
      <c r="O62" s="26"/>
    </row>
    <row r="63">
      <c r="A63" s="26"/>
      <c r="B63" s="98">
        <v>56.0</v>
      </c>
      <c r="C63" s="44" t="s">
        <v>36</v>
      </c>
      <c r="D63" s="118"/>
      <c r="E63" s="47"/>
      <c r="F63" s="49" t="s">
        <v>253</v>
      </c>
      <c r="G63" s="26"/>
      <c r="H63" s="26"/>
      <c r="I63" s="26"/>
      <c r="J63" s="26"/>
      <c r="K63" s="26"/>
      <c r="L63" s="26"/>
      <c r="M63" s="26"/>
      <c r="N63" s="70"/>
      <c r="O63" s="26"/>
    </row>
    <row r="64">
      <c r="A64" s="26"/>
      <c r="B64" s="98">
        <v>57.0</v>
      </c>
      <c r="C64" s="44" t="s">
        <v>36</v>
      </c>
      <c r="D64" s="118"/>
      <c r="E64" s="47"/>
      <c r="F64" s="49" t="s">
        <v>255</v>
      </c>
      <c r="G64" s="26"/>
      <c r="H64" s="26"/>
      <c r="I64" s="26"/>
      <c r="J64" s="26"/>
      <c r="K64" s="26"/>
      <c r="L64" s="26"/>
      <c r="M64" s="26"/>
      <c r="N64" s="70"/>
      <c r="O64" s="26"/>
    </row>
    <row r="65">
      <c r="A65" s="26"/>
      <c r="B65" s="98">
        <v>58.0</v>
      </c>
      <c r="C65" s="44" t="s">
        <v>36</v>
      </c>
      <c r="D65" s="118"/>
      <c r="E65" s="47"/>
      <c r="F65" s="49" t="s">
        <v>258</v>
      </c>
      <c r="G65" s="26"/>
      <c r="H65" s="26"/>
      <c r="I65" s="26"/>
      <c r="J65" s="26"/>
      <c r="K65" s="26"/>
      <c r="L65" s="26"/>
      <c r="M65" s="26"/>
      <c r="N65" s="70"/>
      <c r="O65" s="26"/>
    </row>
    <row r="66">
      <c r="A66" s="26"/>
      <c r="B66" s="98">
        <v>59.0</v>
      </c>
      <c r="C66" s="44" t="s">
        <v>36</v>
      </c>
      <c r="D66" s="118"/>
      <c r="E66" s="47"/>
      <c r="F66" s="49" t="s">
        <v>261</v>
      </c>
      <c r="G66" s="26"/>
      <c r="H66" s="26"/>
      <c r="I66" s="26"/>
      <c r="J66" s="26"/>
      <c r="K66" s="26"/>
      <c r="L66" s="26"/>
      <c r="M66" s="26"/>
      <c r="N66" s="70"/>
      <c r="O66" s="26"/>
    </row>
    <row r="67">
      <c r="A67" s="26"/>
      <c r="B67" s="98">
        <v>60.0</v>
      </c>
      <c r="C67" s="44" t="s">
        <v>36</v>
      </c>
      <c r="D67" s="118"/>
      <c r="E67" s="47"/>
      <c r="F67" s="49" t="s">
        <v>263</v>
      </c>
      <c r="G67" s="26"/>
      <c r="H67" s="26"/>
      <c r="I67" s="26"/>
      <c r="J67" s="26"/>
      <c r="K67" s="26"/>
      <c r="L67" s="26"/>
      <c r="M67" s="26"/>
      <c r="N67" s="70"/>
      <c r="O67" s="26"/>
    </row>
    <row r="68">
      <c r="A68" s="26"/>
      <c r="B68" s="98">
        <v>61.0</v>
      </c>
      <c r="C68" s="44" t="s">
        <v>36</v>
      </c>
      <c r="D68" s="118"/>
      <c r="E68" s="47"/>
      <c r="F68" s="49" t="s">
        <v>266</v>
      </c>
      <c r="G68" s="26"/>
      <c r="H68" s="26"/>
      <c r="I68" s="26"/>
      <c r="J68" s="26"/>
      <c r="K68" s="26"/>
      <c r="L68" s="26"/>
      <c r="M68" s="26"/>
      <c r="N68" s="70"/>
      <c r="O68" s="26"/>
    </row>
    <row r="69">
      <c r="A69" s="26"/>
      <c r="B69" s="98">
        <v>62.0</v>
      </c>
      <c r="C69" s="44" t="s">
        <v>36</v>
      </c>
      <c r="D69" s="118"/>
      <c r="E69" s="47"/>
      <c r="F69" s="49" t="s">
        <v>268</v>
      </c>
      <c r="G69" s="26"/>
      <c r="H69" s="26"/>
      <c r="I69" s="26"/>
      <c r="J69" s="26"/>
      <c r="K69" s="26"/>
      <c r="L69" s="26"/>
      <c r="M69" s="26"/>
      <c r="N69" s="70"/>
      <c r="O69" s="26"/>
    </row>
    <row r="70">
      <c r="A70" s="26"/>
      <c r="B70" s="98">
        <v>63.0</v>
      </c>
      <c r="C70" s="44" t="s">
        <v>36</v>
      </c>
      <c r="D70" s="118"/>
      <c r="E70" s="47"/>
      <c r="F70" s="49" t="s">
        <v>270</v>
      </c>
      <c r="G70" s="26"/>
      <c r="H70" s="26"/>
      <c r="I70" s="26"/>
      <c r="J70" s="26"/>
      <c r="K70" s="26"/>
      <c r="L70" s="26"/>
      <c r="M70" s="26"/>
      <c r="N70" s="70"/>
      <c r="O70" s="26"/>
    </row>
    <row r="71">
      <c r="A71" s="26"/>
      <c r="B71" s="98">
        <v>64.0</v>
      </c>
      <c r="C71" s="44" t="s">
        <v>36</v>
      </c>
      <c r="D71" s="118"/>
      <c r="E71" s="47"/>
      <c r="F71" s="49" t="s">
        <v>273</v>
      </c>
      <c r="G71" s="26"/>
      <c r="H71" s="26"/>
      <c r="I71" s="26"/>
      <c r="J71" s="26"/>
      <c r="K71" s="26"/>
      <c r="L71" s="26"/>
      <c r="M71" s="26"/>
      <c r="N71" s="70"/>
      <c r="O71" s="26"/>
    </row>
    <row r="72">
      <c r="A72" s="26"/>
      <c r="B72" s="98">
        <v>65.0</v>
      </c>
      <c r="C72" s="44" t="s">
        <v>36</v>
      </c>
      <c r="D72" s="118"/>
      <c r="E72" s="47"/>
      <c r="F72" s="49" t="s">
        <v>275</v>
      </c>
      <c r="G72" s="26"/>
      <c r="H72" s="26"/>
      <c r="I72" s="26"/>
      <c r="J72" s="26"/>
      <c r="K72" s="26"/>
      <c r="L72" s="26"/>
      <c r="M72" s="26"/>
      <c r="N72" s="70"/>
      <c r="O72" s="26"/>
    </row>
    <row r="73">
      <c r="A73" s="26"/>
      <c r="B73" s="98">
        <v>66.0</v>
      </c>
      <c r="C73" s="44" t="s">
        <v>36</v>
      </c>
      <c r="D73" s="118"/>
      <c r="E73" s="47"/>
      <c r="F73" s="49" t="s">
        <v>276</v>
      </c>
      <c r="G73" s="26"/>
      <c r="H73" s="26"/>
      <c r="I73" s="26"/>
      <c r="J73" s="26"/>
      <c r="K73" s="26"/>
      <c r="L73" s="26"/>
      <c r="M73" s="26"/>
      <c r="N73" s="70"/>
      <c r="O73" s="26"/>
    </row>
    <row r="74">
      <c r="A74" s="26"/>
      <c r="B74" s="98">
        <v>67.0</v>
      </c>
      <c r="C74" s="44" t="s">
        <v>36</v>
      </c>
      <c r="D74" s="118"/>
      <c r="E74" s="47"/>
      <c r="F74" s="49" t="s">
        <v>278</v>
      </c>
      <c r="G74" s="26"/>
      <c r="H74" s="26"/>
      <c r="I74" s="26"/>
      <c r="J74" s="26"/>
      <c r="K74" s="26"/>
      <c r="L74" s="26"/>
      <c r="M74" s="26"/>
      <c r="N74" s="70"/>
      <c r="O74" s="26"/>
    </row>
    <row r="75">
      <c r="A75" s="26"/>
      <c r="B75" s="98">
        <v>68.0</v>
      </c>
      <c r="C75" s="44" t="s">
        <v>36</v>
      </c>
      <c r="D75" s="118"/>
      <c r="E75" s="47"/>
      <c r="F75" s="49" t="s">
        <v>280</v>
      </c>
      <c r="G75" s="26"/>
      <c r="H75" s="26"/>
      <c r="I75" s="26"/>
      <c r="J75" s="26"/>
      <c r="K75" s="26"/>
      <c r="L75" s="26"/>
      <c r="M75" s="26"/>
      <c r="N75" s="70"/>
      <c r="O75" s="26"/>
    </row>
    <row r="76">
      <c r="A76" s="26"/>
      <c r="B76" s="98">
        <v>69.0</v>
      </c>
      <c r="C76" s="44" t="s">
        <v>36</v>
      </c>
      <c r="D76" s="118"/>
      <c r="E76" s="47"/>
      <c r="F76" s="49" t="s">
        <v>281</v>
      </c>
      <c r="G76" s="26"/>
      <c r="H76" s="26"/>
      <c r="I76" s="26"/>
      <c r="J76" s="26"/>
      <c r="K76" s="26"/>
      <c r="L76" s="26"/>
      <c r="M76" s="26"/>
      <c r="N76" s="70"/>
      <c r="O76" s="26"/>
    </row>
    <row r="77">
      <c r="A77" s="26"/>
      <c r="B77" s="98">
        <v>70.0</v>
      </c>
      <c r="C77" s="44" t="s">
        <v>36</v>
      </c>
      <c r="D77" s="118"/>
      <c r="E77" s="47"/>
      <c r="F77" s="49" t="s">
        <v>283</v>
      </c>
      <c r="G77" s="26"/>
      <c r="H77" s="26"/>
      <c r="I77" s="26"/>
      <c r="J77" s="26"/>
      <c r="K77" s="26"/>
      <c r="L77" s="26"/>
      <c r="M77" s="26"/>
      <c r="N77" s="70"/>
      <c r="O77" s="26"/>
    </row>
    <row r="78">
      <c r="A78" s="26"/>
      <c r="B78" s="98">
        <v>71.0</v>
      </c>
      <c r="C78" s="44" t="s">
        <v>36</v>
      </c>
      <c r="D78" s="118"/>
      <c r="E78" s="47"/>
      <c r="F78" s="49" t="s">
        <v>284</v>
      </c>
      <c r="G78" s="26"/>
      <c r="H78" s="26"/>
      <c r="I78" s="26"/>
      <c r="J78" s="26"/>
      <c r="K78" s="26"/>
      <c r="L78" s="26"/>
      <c r="M78" s="26"/>
      <c r="N78" s="70"/>
      <c r="O78" s="26"/>
    </row>
    <row r="79">
      <c r="A79" s="26"/>
      <c r="B79" s="98">
        <v>72.0</v>
      </c>
      <c r="C79" s="44" t="s">
        <v>36</v>
      </c>
      <c r="D79" s="118"/>
      <c r="E79" s="47"/>
      <c r="F79" s="49" t="s">
        <v>286</v>
      </c>
      <c r="G79" s="26"/>
      <c r="H79" s="26"/>
      <c r="I79" s="26"/>
      <c r="J79" s="26"/>
      <c r="K79" s="26"/>
      <c r="L79" s="26"/>
      <c r="M79" s="26"/>
      <c r="N79" s="70"/>
      <c r="O79" s="26"/>
    </row>
    <row r="80">
      <c r="A80" s="26"/>
      <c r="B80" s="98">
        <v>73.0</v>
      </c>
      <c r="C80" s="44" t="s">
        <v>36</v>
      </c>
      <c r="D80" s="118"/>
      <c r="E80" s="47"/>
      <c r="F80" s="49" t="s">
        <v>287</v>
      </c>
      <c r="G80" s="26"/>
      <c r="H80" s="26"/>
      <c r="I80" s="26"/>
      <c r="J80" s="26"/>
      <c r="K80" s="26"/>
      <c r="L80" s="26"/>
      <c r="M80" s="26"/>
      <c r="N80" s="70"/>
      <c r="O80" s="26"/>
    </row>
    <row r="81">
      <c r="A81" s="26"/>
      <c r="B81" s="98">
        <v>74.0</v>
      </c>
      <c r="C81" s="44" t="s">
        <v>36</v>
      </c>
      <c r="D81" s="118"/>
      <c r="E81" s="47"/>
      <c r="F81" s="49" t="s">
        <v>289</v>
      </c>
      <c r="G81" s="26"/>
      <c r="H81" s="26"/>
      <c r="I81" s="26"/>
      <c r="J81" s="26"/>
      <c r="K81" s="26"/>
      <c r="L81" s="26"/>
      <c r="M81" s="26"/>
      <c r="N81" s="70"/>
      <c r="O81" s="26"/>
    </row>
    <row r="82">
      <c r="A82" s="26"/>
      <c r="B82" s="98">
        <v>75.0</v>
      </c>
      <c r="C82" s="44" t="s">
        <v>36</v>
      </c>
      <c r="D82" s="118"/>
      <c r="E82" s="47"/>
      <c r="F82" s="49" t="s">
        <v>290</v>
      </c>
      <c r="G82" s="26"/>
      <c r="H82" s="26"/>
      <c r="I82" s="26"/>
      <c r="J82" s="26"/>
      <c r="K82" s="26"/>
      <c r="L82" s="26"/>
      <c r="M82" s="26"/>
      <c r="N82" s="70"/>
      <c r="O82" s="26"/>
    </row>
    <row r="83">
      <c r="A83" s="26"/>
      <c r="B83" s="98">
        <v>76.0</v>
      </c>
      <c r="C83" s="44" t="s">
        <v>36</v>
      </c>
      <c r="D83" s="118"/>
      <c r="E83" s="47"/>
      <c r="F83" s="49" t="s">
        <v>291</v>
      </c>
      <c r="G83" s="26"/>
      <c r="H83" s="26"/>
      <c r="I83" s="26"/>
      <c r="J83" s="26"/>
      <c r="K83" s="26"/>
      <c r="L83" s="26"/>
      <c r="M83" s="26"/>
      <c r="N83" s="70"/>
      <c r="O83" s="26"/>
    </row>
    <row r="84">
      <c r="A84" s="26"/>
      <c r="B84" s="98">
        <v>77.0</v>
      </c>
      <c r="C84" s="44" t="s">
        <v>36</v>
      </c>
      <c r="D84" s="118"/>
      <c r="E84" s="47"/>
      <c r="F84" s="49" t="s">
        <v>292</v>
      </c>
      <c r="G84" s="26"/>
      <c r="H84" s="26"/>
      <c r="I84" s="26"/>
      <c r="J84" s="26"/>
      <c r="K84" s="26"/>
      <c r="L84" s="26"/>
      <c r="M84" s="26"/>
      <c r="N84" s="70"/>
      <c r="O84" s="26"/>
    </row>
    <row r="85">
      <c r="A85" s="26"/>
      <c r="B85" s="98">
        <v>78.0</v>
      </c>
      <c r="C85" s="44" t="s">
        <v>36</v>
      </c>
      <c r="D85" s="118"/>
      <c r="E85" s="47"/>
      <c r="F85" s="49" t="s">
        <v>293</v>
      </c>
      <c r="G85" s="26"/>
      <c r="H85" s="26"/>
      <c r="I85" s="26"/>
      <c r="J85" s="26"/>
      <c r="K85" s="26"/>
      <c r="L85" s="26"/>
      <c r="M85" s="26"/>
      <c r="N85" s="70"/>
      <c r="O85" s="26"/>
    </row>
    <row r="86">
      <c r="A86" s="26"/>
      <c r="B86" s="98">
        <v>79.0</v>
      </c>
      <c r="C86" s="44" t="s">
        <v>36</v>
      </c>
      <c r="D86" s="118"/>
      <c r="E86" s="47"/>
      <c r="F86" s="49" t="s">
        <v>294</v>
      </c>
      <c r="G86" s="26"/>
      <c r="H86" s="26"/>
      <c r="I86" s="26"/>
      <c r="J86" s="26"/>
      <c r="K86" s="26"/>
      <c r="L86" s="26"/>
      <c r="M86" s="26"/>
      <c r="N86" s="70"/>
      <c r="O86" s="26"/>
    </row>
    <row r="87">
      <c r="A87" s="26"/>
      <c r="B87" s="98">
        <v>80.0</v>
      </c>
      <c r="C87" s="44" t="s">
        <v>36</v>
      </c>
      <c r="D87" s="118"/>
      <c r="E87" s="47"/>
      <c r="F87" s="49" t="s">
        <v>296</v>
      </c>
      <c r="G87" s="26"/>
      <c r="H87" s="26"/>
      <c r="I87" s="26"/>
      <c r="J87" s="26"/>
      <c r="K87" s="26"/>
      <c r="L87" s="26"/>
      <c r="M87" s="26"/>
      <c r="N87" s="70"/>
      <c r="O87" s="26"/>
    </row>
    <row r="88">
      <c r="A88" s="26"/>
      <c r="B88" s="98">
        <v>81.0</v>
      </c>
      <c r="C88" s="44" t="s">
        <v>36</v>
      </c>
      <c r="D88" s="118"/>
      <c r="E88" s="47"/>
      <c r="F88" s="49" t="s">
        <v>297</v>
      </c>
      <c r="G88" s="26"/>
      <c r="H88" s="26"/>
      <c r="I88" s="26"/>
      <c r="J88" s="26"/>
      <c r="K88" s="26"/>
      <c r="L88" s="26"/>
      <c r="M88" s="26"/>
      <c r="N88" s="70"/>
      <c r="O88" s="26"/>
    </row>
    <row r="89">
      <c r="A89" s="26"/>
      <c r="B89" s="98">
        <v>82.0</v>
      </c>
      <c r="C89" s="44" t="s">
        <v>36</v>
      </c>
      <c r="D89" s="118"/>
      <c r="E89" s="47"/>
      <c r="F89" s="49" t="s">
        <v>298</v>
      </c>
      <c r="G89" s="26"/>
      <c r="H89" s="26"/>
      <c r="I89" s="26"/>
      <c r="J89" s="26"/>
      <c r="K89" s="26"/>
      <c r="L89" s="26"/>
      <c r="M89" s="26"/>
      <c r="N89" s="70"/>
      <c r="O89" s="26"/>
    </row>
    <row r="90">
      <c r="A90" s="26"/>
      <c r="B90" s="98">
        <v>83.0</v>
      </c>
      <c r="C90" s="44" t="s">
        <v>36</v>
      </c>
      <c r="D90" s="118"/>
      <c r="E90" s="47"/>
      <c r="F90" s="49" t="s">
        <v>300</v>
      </c>
      <c r="G90" s="26"/>
      <c r="H90" s="26"/>
      <c r="I90" s="26"/>
      <c r="J90" s="26"/>
      <c r="K90" s="26"/>
      <c r="L90" s="26"/>
      <c r="M90" s="26"/>
      <c r="N90" s="70"/>
      <c r="O90" s="26"/>
    </row>
    <row r="91">
      <c r="A91" s="26"/>
      <c r="B91" s="98">
        <v>84.0</v>
      </c>
      <c r="C91" s="44" t="s">
        <v>36</v>
      </c>
      <c r="D91" s="118"/>
      <c r="E91" s="47"/>
      <c r="F91" s="49" t="s">
        <v>302</v>
      </c>
      <c r="G91" s="26"/>
      <c r="H91" s="26"/>
      <c r="I91" s="26"/>
      <c r="J91" s="26"/>
      <c r="K91" s="26"/>
      <c r="L91" s="26"/>
      <c r="M91" s="26"/>
      <c r="N91" s="70"/>
      <c r="O91" s="26"/>
    </row>
    <row r="92">
      <c r="A92" s="26"/>
      <c r="B92" s="98">
        <v>85.0</v>
      </c>
      <c r="C92" s="44" t="s">
        <v>36</v>
      </c>
      <c r="D92" s="118"/>
      <c r="E92" s="47"/>
      <c r="F92" s="49" t="s">
        <v>303</v>
      </c>
      <c r="G92" s="26"/>
      <c r="H92" s="26"/>
      <c r="I92" s="26"/>
      <c r="J92" s="26"/>
      <c r="K92" s="26"/>
      <c r="L92" s="26"/>
      <c r="M92" s="26"/>
      <c r="N92" s="70"/>
      <c r="O92" s="26"/>
    </row>
    <row r="93">
      <c r="A93" s="26"/>
      <c r="B93" s="98">
        <v>86.0</v>
      </c>
      <c r="C93" s="44" t="s">
        <v>36</v>
      </c>
      <c r="D93" s="118"/>
      <c r="E93" s="47"/>
      <c r="F93" s="49" t="s">
        <v>305</v>
      </c>
      <c r="G93" s="26"/>
      <c r="H93" s="26"/>
      <c r="I93" s="26"/>
      <c r="J93" s="26"/>
      <c r="K93" s="26"/>
      <c r="L93" s="26"/>
      <c r="M93" s="26"/>
      <c r="N93" s="70"/>
      <c r="O93" s="26"/>
    </row>
    <row r="94">
      <c r="A94" s="26"/>
      <c r="B94" s="98">
        <v>87.0</v>
      </c>
      <c r="C94" s="44" t="s">
        <v>36</v>
      </c>
      <c r="D94" s="118"/>
      <c r="E94" s="47"/>
      <c r="F94" s="49" t="s">
        <v>306</v>
      </c>
      <c r="G94" s="26"/>
      <c r="H94" s="26"/>
      <c r="I94" s="26"/>
      <c r="J94" s="26"/>
      <c r="K94" s="26"/>
      <c r="L94" s="26"/>
      <c r="M94" s="26"/>
      <c r="N94" s="70"/>
      <c r="O94" s="26"/>
    </row>
    <row r="95">
      <c r="A95" s="26"/>
      <c r="B95" s="98">
        <v>88.0</v>
      </c>
      <c r="C95" s="44" t="s">
        <v>36</v>
      </c>
      <c r="D95" s="118"/>
      <c r="E95" s="47"/>
      <c r="F95" s="49" t="s">
        <v>307</v>
      </c>
      <c r="G95" s="26"/>
      <c r="H95" s="26"/>
      <c r="I95" s="26"/>
      <c r="J95" s="26"/>
      <c r="K95" s="26"/>
      <c r="L95" s="26"/>
      <c r="M95" s="26"/>
      <c r="N95" s="70"/>
      <c r="O95" s="26"/>
    </row>
    <row r="96">
      <c r="A96" s="26"/>
      <c r="B96" s="98">
        <v>89.0</v>
      </c>
      <c r="C96" s="44" t="s">
        <v>36</v>
      </c>
      <c r="D96" s="118"/>
      <c r="E96" s="47"/>
      <c r="F96" s="49" t="s">
        <v>309</v>
      </c>
      <c r="G96" s="26"/>
      <c r="H96" s="26"/>
      <c r="I96" s="26"/>
      <c r="J96" s="26"/>
      <c r="K96" s="26"/>
      <c r="L96" s="26"/>
      <c r="M96" s="26"/>
      <c r="N96" s="70"/>
      <c r="O96" s="26"/>
    </row>
    <row r="97">
      <c r="A97" s="26"/>
      <c r="B97" s="98">
        <v>90.0</v>
      </c>
      <c r="C97" s="44" t="s">
        <v>36</v>
      </c>
      <c r="D97" s="118"/>
      <c r="E97" s="47"/>
      <c r="F97" s="49" t="s">
        <v>310</v>
      </c>
      <c r="G97" s="26"/>
      <c r="H97" s="26"/>
      <c r="I97" s="26"/>
      <c r="J97" s="26"/>
      <c r="K97" s="26"/>
      <c r="L97" s="26"/>
      <c r="M97" s="26"/>
      <c r="N97" s="70"/>
      <c r="O97" s="26"/>
    </row>
    <row r="98">
      <c r="A98" s="26"/>
      <c r="B98" s="98">
        <v>91.0</v>
      </c>
      <c r="C98" s="44" t="s">
        <v>36</v>
      </c>
      <c r="D98" s="118"/>
      <c r="E98" s="47"/>
      <c r="F98" s="49" t="s">
        <v>311</v>
      </c>
      <c r="G98" s="26"/>
      <c r="H98" s="26"/>
      <c r="I98" s="26"/>
      <c r="J98" s="26"/>
      <c r="K98" s="26"/>
      <c r="L98" s="26"/>
      <c r="M98" s="26"/>
      <c r="N98" s="70"/>
      <c r="O98" s="26"/>
    </row>
    <row r="99">
      <c r="A99" s="26"/>
      <c r="B99" s="98">
        <v>92.0</v>
      </c>
      <c r="C99" s="44" t="s">
        <v>36</v>
      </c>
      <c r="D99" s="118"/>
      <c r="E99" s="47"/>
      <c r="F99" s="49" t="s">
        <v>313</v>
      </c>
      <c r="G99" s="26"/>
      <c r="H99" s="26"/>
      <c r="I99" s="26"/>
      <c r="J99" s="26"/>
      <c r="K99" s="26"/>
      <c r="L99" s="26"/>
      <c r="M99" s="26"/>
      <c r="N99" s="70"/>
      <c r="O99" s="26"/>
    </row>
    <row r="100">
      <c r="A100" s="26"/>
      <c r="B100" s="98">
        <v>93.0</v>
      </c>
      <c r="C100" s="44" t="s">
        <v>36</v>
      </c>
      <c r="D100" s="118"/>
      <c r="E100" s="47"/>
      <c r="F100" s="49" t="s">
        <v>315</v>
      </c>
      <c r="G100" s="26"/>
      <c r="H100" s="26"/>
      <c r="I100" s="26"/>
      <c r="J100" s="26"/>
      <c r="K100" s="26"/>
      <c r="L100" s="26"/>
      <c r="M100" s="26"/>
      <c r="N100" s="70"/>
      <c r="O100" s="26"/>
    </row>
    <row r="101">
      <c r="A101" s="26"/>
      <c r="B101" s="98">
        <v>94.0</v>
      </c>
      <c r="C101" s="44" t="s">
        <v>36</v>
      </c>
      <c r="D101" s="118"/>
      <c r="E101" s="47"/>
      <c r="F101" s="49" t="s">
        <v>317</v>
      </c>
      <c r="G101" s="26"/>
      <c r="H101" s="26"/>
      <c r="I101" s="26"/>
      <c r="J101" s="26"/>
      <c r="K101" s="26"/>
      <c r="L101" s="26"/>
      <c r="M101" s="26"/>
      <c r="N101" s="70"/>
      <c r="O101" s="26"/>
    </row>
    <row r="102">
      <c r="A102" s="26"/>
      <c r="B102" s="98">
        <v>95.0</v>
      </c>
      <c r="C102" s="44" t="s">
        <v>36</v>
      </c>
      <c r="D102" s="118"/>
      <c r="E102" s="47"/>
      <c r="F102" s="49" t="s">
        <v>319</v>
      </c>
      <c r="G102" s="26"/>
      <c r="H102" s="26"/>
      <c r="I102" s="26"/>
      <c r="J102" s="26"/>
      <c r="K102" s="26"/>
      <c r="L102" s="26"/>
      <c r="M102" s="26"/>
      <c r="N102" s="70"/>
      <c r="O102" s="26"/>
    </row>
  </sheetData>
  <conditionalFormatting sqref="C8:C102">
    <cfRule type="cellIs" dxfId="5" priority="1" stopIfTrue="1" operator="equal">
      <formula>"Completed"</formula>
    </cfRule>
  </conditionalFormatting>
  <conditionalFormatting sqref="C8:C102">
    <cfRule type="cellIs" dxfId="6" priority="2" stopIfTrue="1" operator="equal">
      <formula>"Pending"</formula>
    </cfRule>
  </conditionalFormatting>
  <conditionalFormatting sqref="C8:C102">
    <cfRule type="cellIs" dxfId="7" priority="3" stopIfTrue="1" operator="equal">
      <formula>"Revisit"</formula>
    </cfRule>
  </conditionalFormatting>
  <dataValidations>
    <dataValidation type="list" allowBlank="1" showErrorMessage="1" sqref="C8:C102">
      <formula1>"Completed,Pending"</formula1>
    </dataValidation>
    <dataValidation type="custom" allowBlank="1" showErrorMessage="1" sqref="D8:D102">
      <formula1>OR(NOT(ISERROR(DATEVALUE(D8))), AND(ISNUMBER(D8), LEFT(CELL("format", D8))="D"))</formula1>
    </dataValidation>
  </dataValidations>
  <hyperlinks>
    <hyperlink r:id="rId1" ref="F8"/>
    <hyperlink r:id="rId2" ref="F9"/>
    <hyperlink r:id="rId3" ref="F10"/>
    <hyperlink r:id="rId4" ref="F11"/>
    <hyperlink r:id="rId5" ref="F12"/>
    <hyperlink r:id="rId6" ref="F13"/>
    <hyperlink r:id="rId7" ref="F14"/>
    <hyperlink r:id="rId8" ref="F15"/>
    <hyperlink r:id="rId9" ref="F16"/>
    <hyperlink r:id="rId10" ref="F17"/>
    <hyperlink r:id="rId11" ref="F18"/>
    <hyperlink r:id="rId12" ref="F19"/>
    <hyperlink r:id="rId13" ref="F20"/>
    <hyperlink r:id="rId14" ref="F21"/>
    <hyperlink r:id="rId15" ref="F22"/>
    <hyperlink r:id="rId16" ref="F23"/>
    <hyperlink r:id="rId17" ref="F24"/>
    <hyperlink r:id="rId18" ref="F25"/>
    <hyperlink r:id="rId19" ref="F26"/>
    <hyperlink r:id="rId20" ref="F27"/>
    <hyperlink r:id="rId21" ref="F28"/>
    <hyperlink r:id="rId22" ref="F29"/>
    <hyperlink r:id="rId23" ref="F30"/>
    <hyperlink r:id="rId24" ref="F31"/>
    <hyperlink r:id="rId25" ref="F32"/>
    <hyperlink r:id="rId26" ref="F33"/>
    <hyperlink r:id="rId27" ref="F34"/>
    <hyperlink r:id="rId28" ref="F35"/>
    <hyperlink r:id="rId29" ref="F36"/>
    <hyperlink r:id="rId30" ref="F37"/>
    <hyperlink r:id="rId31" ref="F38"/>
    <hyperlink r:id="rId32" ref="F39"/>
    <hyperlink r:id="rId33" ref="F40"/>
    <hyperlink r:id="rId34" ref="F41"/>
    <hyperlink r:id="rId35" ref="F42"/>
    <hyperlink r:id="rId36" ref="F43"/>
    <hyperlink r:id="rId37" ref="F44"/>
    <hyperlink r:id="rId38" ref="F45"/>
    <hyperlink r:id="rId39" ref="F46"/>
    <hyperlink r:id="rId40" ref="F47"/>
    <hyperlink r:id="rId41" ref="F48"/>
    <hyperlink r:id="rId42" ref="F49"/>
    <hyperlink r:id="rId43" ref="F50"/>
    <hyperlink r:id="rId44" ref="F51"/>
    <hyperlink r:id="rId45" ref="F52"/>
    <hyperlink r:id="rId46" ref="F53"/>
    <hyperlink r:id="rId47" ref="F54"/>
    <hyperlink r:id="rId48" ref="F55"/>
    <hyperlink r:id="rId49" ref="F56"/>
    <hyperlink r:id="rId50" ref="F57"/>
    <hyperlink r:id="rId51" ref="F58"/>
    <hyperlink r:id="rId52" ref="F59"/>
    <hyperlink r:id="rId53" ref="F60"/>
    <hyperlink r:id="rId54" ref="F61"/>
    <hyperlink r:id="rId55" ref="F62"/>
    <hyperlink r:id="rId56" ref="F63"/>
    <hyperlink r:id="rId57" ref="F64"/>
    <hyperlink r:id="rId58" ref="F65"/>
    <hyperlink r:id="rId59" ref="F66"/>
    <hyperlink r:id="rId60" ref="F67"/>
    <hyperlink r:id="rId61" ref="F68"/>
    <hyperlink r:id="rId62" ref="F69"/>
    <hyperlink r:id="rId63" ref="F70"/>
    <hyperlink r:id="rId64" ref="F71"/>
    <hyperlink r:id="rId65" ref="F72"/>
    <hyperlink r:id="rId66" ref="F73"/>
    <hyperlink r:id="rId67" ref="F74"/>
    <hyperlink r:id="rId68" ref="F75"/>
    <hyperlink r:id="rId69" ref="F76"/>
    <hyperlink r:id="rId70" ref="F77"/>
    <hyperlink r:id="rId71" ref="F78"/>
    <hyperlink r:id="rId72" ref="F79"/>
    <hyperlink r:id="rId73" ref="F80"/>
    <hyperlink r:id="rId74" ref="F81"/>
    <hyperlink r:id="rId75" ref="F82"/>
    <hyperlink r:id="rId76" ref="F83"/>
    <hyperlink r:id="rId77" ref="F84"/>
    <hyperlink r:id="rId78" ref="F85"/>
    <hyperlink r:id="rId79" ref="F86"/>
    <hyperlink r:id="rId80" ref="F87"/>
    <hyperlink r:id="rId81" ref="F88"/>
    <hyperlink r:id="rId82" ref="F89"/>
    <hyperlink r:id="rId83" ref="F90"/>
    <hyperlink r:id="rId84" ref="F91"/>
    <hyperlink r:id="rId85" ref="F92"/>
    <hyperlink r:id="rId86" ref="F93"/>
    <hyperlink r:id="rId87" ref="F94"/>
    <hyperlink r:id="rId88" ref="F95"/>
    <hyperlink r:id="rId89" ref="F96"/>
    <hyperlink r:id="rId90" ref="F97"/>
    <hyperlink r:id="rId91" ref="F98"/>
    <hyperlink r:id="rId92" ref="F99"/>
    <hyperlink r:id="rId93" ref="F100"/>
    <hyperlink r:id="rId94" ref="F101"/>
    <hyperlink r:id="rId95" ref="F102"/>
  </hyperlinks>
  <drawing r:id="rId96"/>
  <tableParts count="1">
    <tablePart r:id="rId98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41.25"/>
    <col customWidth="1" min="2" max="2" width="7.75"/>
    <col customWidth="1" min="3" max="3" width="18.38"/>
    <col customWidth="1" min="4" max="4" width="12.63"/>
    <col customWidth="1" min="5" max="5" width="7.5"/>
    <col customWidth="1" min="6" max="6" width="40.0"/>
    <col customWidth="1" min="7" max="7" width="9.0"/>
    <col customWidth="1" min="8" max="8" width="12.25"/>
    <col customWidth="1" min="9" max="9" width="16.38"/>
    <col customWidth="1" min="10" max="10" width="19.5"/>
    <col customWidth="1" min="11" max="11" width="11.63"/>
    <col customWidth="1" min="12" max="12" width="15.38"/>
  </cols>
  <sheetData>
    <row r="1" ht="6.75" customHeight="1">
      <c r="A1" s="56"/>
      <c r="B1" s="99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  <c r="Q1" s="56"/>
      <c r="R1" s="56"/>
      <c r="S1" s="56"/>
      <c r="T1" s="56"/>
      <c r="U1" s="56"/>
      <c r="V1" s="56"/>
      <c r="W1" s="56"/>
      <c r="X1" s="56"/>
      <c r="Y1" s="56"/>
    </row>
    <row r="2">
      <c r="A2" s="100" t="s">
        <v>134</v>
      </c>
      <c r="I2" s="56"/>
      <c r="J2" s="56"/>
      <c r="K2" s="56"/>
      <c r="L2" s="56"/>
      <c r="M2" s="56"/>
      <c r="N2" s="56"/>
      <c r="O2" s="56"/>
      <c r="P2" s="56"/>
      <c r="Q2" s="56"/>
      <c r="R2" s="56"/>
      <c r="S2" s="56"/>
      <c r="T2" s="56"/>
      <c r="U2" s="56"/>
      <c r="V2" s="56"/>
      <c r="W2" s="56"/>
      <c r="X2" s="56"/>
      <c r="Y2" s="56"/>
    </row>
    <row r="3">
      <c r="A3" s="56"/>
      <c r="B3" s="101"/>
      <c r="C3" s="102"/>
      <c r="D3" s="102"/>
      <c r="E3" s="102"/>
      <c r="F3" s="102"/>
      <c r="G3" s="56"/>
      <c r="H3" s="56"/>
      <c r="I3" s="56"/>
      <c r="J3" s="56"/>
      <c r="K3" s="56"/>
      <c r="L3" s="56"/>
      <c r="M3" s="56"/>
      <c r="N3" s="56"/>
      <c r="O3" s="56"/>
      <c r="P3" s="56"/>
      <c r="Q3" s="56"/>
      <c r="R3" s="56"/>
      <c r="S3" s="56"/>
      <c r="T3" s="56"/>
      <c r="U3" s="56"/>
      <c r="V3" s="56"/>
      <c r="W3" s="56"/>
      <c r="X3" s="56"/>
      <c r="Y3" s="56"/>
    </row>
    <row r="4">
      <c r="A4" s="56"/>
      <c r="B4" s="101"/>
      <c r="C4" s="102"/>
      <c r="D4" s="102"/>
      <c r="E4" s="102"/>
      <c r="F4" s="102"/>
      <c r="G4" s="56"/>
      <c r="H4" s="56"/>
      <c r="I4" s="56"/>
      <c r="J4" s="56"/>
      <c r="K4" s="56"/>
      <c r="L4" s="56"/>
      <c r="M4" s="56"/>
      <c r="O4" s="56"/>
      <c r="P4" s="56"/>
      <c r="Q4" s="56"/>
      <c r="R4" s="56"/>
      <c r="S4" s="56"/>
      <c r="T4" s="56"/>
      <c r="U4" s="56"/>
      <c r="V4" s="56"/>
      <c r="W4" s="56"/>
      <c r="X4" s="56"/>
      <c r="Y4" s="56"/>
    </row>
    <row r="5">
      <c r="A5" s="56"/>
      <c r="B5" s="103" t="s">
        <v>2</v>
      </c>
      <c r="C5" s="103" t="s">
        <v>27</v>
      </c>
      <c r="D5" s="104" t="s">
        <v>28</v>
      </c>
      <c r="E5" s="104" t="s">
        <v>29</v>
      </c>
      <c r="F5" s="105" t="s">
        <v>30</v>
      </c>
      <c r="G5" s="105" t="s">
        <v>31</v>
      </c>
      <c r="I5" s="36" t="s">
        <v>11</v>
      </c>
      <c r="J5" s="40" t="str">
        <f>IFERROR(__xludf.DUMMYFUNCTION("SPARKLINE(J6, {""charttype"",""bar"";""max"",1;""color1"",""#4CAF50""})"),"")</f>
        <v/>
      </c>
      <c r="L5" s="35" t="s">
        <v>32</v>
      </c>
      <c r="O5" s="56"/>
      <c r="P5" s="56"/>
      <c r="Q5" s="56"/>
      <c r="R5" s="56"/>
      <c r="S5" s="56"/>
      <c r="T5" s="56"/>
      <c r="U5" s="56"/>
      <c r="V5" s="56"/>
      <c r="W5" s="56"/>
      <c r="X5" s="56"/>
      <c r="Y5" s="56"/>
    </row>
    <row r="6">
      <c r="A6" s="56"/>
      <c r="B6" s="106">
        <v>1.0</v>
      </c>
      <c r="C6" s="107" t="s">
        <v>4</v>
      </c>
      <c r="D6" s="108">
        <v>46078.0</v>
      </c>
      <c r="E6" s="109"/>
      <c r="F6" s="110" t="s">
        <v>137</v>
      </c>
      <c r="G6" s="111"/>
      <c r="I6" s="51" t="s">
        <v>4</v>
      </c>
      <c r="J6" s="52">
        <f>COUNTIF(C6:C49, "Completed")</f>
        <v>44</v>
      </c>
      <c r="K6" s="112"/>
      <c r="L6" s="50">
        <f t="shared" ref="L6:L7" si="1">J6/$J$8</f>
        <v>1</v>
      </c>
      <c r="O6" s="56"/>
      <c r="P6" s="56"/>
      <c r="Q6" s="56"/>
      <c r="R6" s="56"/>
      <c r="S6" s="56"/>
      <c r="T6" s="56"/>
      <c r="U6" s="56"/>
      <c r="V6" s="56"/>
      <c r="W6" s="56"/>
      <c r="X6" s="56"/>
      <c r="Y6" s="56"/>
    </row>
    <row r="7">
      <c r="A7" s="56"/>
      <c r="B7" s="106">
        <v>2.0</v>
      </c>
      <c r="C7" s="107" t="s">
        <v>4</v>
      </c>
      <c r="D7" s="108">
        <v>46079.0</v>
      </c>
      <c r="E7" s="109"/>
      <c r="F7" s="110" t="s">
        <v>139</v>
      </c>
      <c r="G7" s="111"/>
      <c r="I7" s="51" t="s">
        <v>36</v>
      </c>
      <c r="J7" s="52">
        <f>COUNTIF(C6:C49, "Pending")</f>
        <v>0</v>
      </c>
      <c r="K7" s="113"/>
      <c r="L7" s="50">
        <f t="shared" si="1"/>
        <v>0</v>
      </c>
      <c r="O7" s="56"/>
      <c r="P7" s="56"/>
      <c r="Q7" s="56"/>
      <c r="R7" s="56"/>
      <c r="S7" s="56"/>
      <c r="T7" s="56"/>
      <c r="U7" s="56"/>
      <c r="V7" s="56"/>
      <c r="W7" s="56"/>
      <c r="X7" s="56"/>
      <c r="Y7" s="56"/>
    </row>
    <row r="8">
      <c r="A8" s="56"/>
      <c r="B8" s="106">
        <v>3.0</v>
      </c>
      <c r="C8" s="107" t="s">
        <v>4</v>
      </c>
      <c r="D8" s="108">
        <v>46080.0</v>
      </c>
      <c r="E8" s="109"/>
      <c r="F8" s="110" t="s">
        <v>142</v>
      </c>
      <c r="G8" s="111"/>
      <c r="I8" s="51" t="s">
        <v>49</v>
      </c>
      <c r="J8" s="52">
        <f>COUNTA(B6:B49)</f>
        <v>44</v>
      </c>
      <c r="M8" s="56"/>
      <c r="N8" s="56"/>
      <c r="O8" s="56"/>
      <c r="P8" s="56"/>
      <c r="Q8" s="56"/>
      <c r="R8" s="56"/>
      <c r="S8" s="56"/>
      <c r="T8" s="56"/>
      <c r="U8" s="56"/>
      <c r="V8" s="56"/>
      <c r="W8" s="56"/>
      <c r="X8" s="56"/>
      <c r="Y8" s="56"/>
    </row>
    <row r="9">
      <c r="A9" s="56"/>
      <c r="B9" s="106">
        <v>4.0</v>
      </c>
      <c r="C9" s="107" t="s">
        <v>4</v>
      </c>
      <c r="D9" s="108">
        <v>46082.0</v>
      </c>
      <c r="E9" s="109"/>
      <c r="F9" s="110" t="s">
        <v>144</v>
      </c>
      <c r="G9" s="111"/>
      <c r="I9" s="51" t="s">
        <v>53</v>
      </c>
      <c r="J9" s="58">
        <f>SUM(G6:G49)</f>
        <v>0</v>
      </c>
      <c r="M9" s="56"/>
      <c r="N9" s="56"/>
      <c r="O9" s="56"/>
      <c r="P9" s="56"/>
      <c r="Q9" s="56"/>
      <c r="R9" s="56"/>
      <c r="S9" s="56"/>
      <c r="T9" s="56"/>
      <c r="U9" s="56"/>
      <c r="V9" s="56"/>
      <c r="W9" s="56"/>
      <c r="X9" s="56"/>
      <c r="Y9" s="56"/>
    </row>
    <row r="10">
      <c r="A10" s="56"/>
      <c r="B10" s="106">
        <v>5.0</v>
      </c>
      <c r="C10" s="107" t="s">
        <v>4</v>
      </c>
      <c r="D10" s="108">
        <v>46082.0</v>
      </c>
      <c r="E10" s="109"/>
      <c r="F10" s="110" t="s">
        <v>146</v>
      </c>
      <c r="G10" s="111"/>
      <c r="I10" s="51" t="s">
        <v>58</v>
      </c>
      <c r="J10" s="58">
        <f>SUMIF(C6:C49, "Pending", G6:G49)</f>
        <v>0</v>
      </c>
      <c r="M10" s="56"/>
      <c r="N10" s="56"/>
      <c r="O10" s="56"/>
      <c r="P10" s="56"/>
      <c r="Q10" s="56"/>
      <c r="R10" s="56"/>
      <c r="S10" s="56"/>
      <c r="T10" s="56"/>
      <c r="U10" s="56"/>
      <c r="V10" s="56"/>
      <c r="W10" s="56"/>
      <c r="X10" s="56"/>
      <c r="Y10" s="56"/>
    </row>
    <row r="11">
      <c r="A11" s="56"/>
      <c r="B11" s="106">
        <v>6.0</v>
      </c>
      <c r="C11" s="107" t="s">
        <v>4</v>
      </c>
      <c r="D11" s="108">
        <v>46083.0</v>
      </c>
      <c r="E11" s="109"/>
      <c r="F11" s="110" t="s">
        <v>148</v>
      </c>
      <c r="G11" s="111"/>
      <c r="I11" s="51" t="s">
        <v>7</v>
      </c>
      <c r="J11" s="61"/>
      <c r="M11" s="56"/>
      <c r="N11" s="56"/>
      <c r="O11" s="56"/>
      <c r="P11" s="56"/>
      <c r="Q11" s="56"/>
      <c r="R11" s="56"/>
      <c r="S11" s="56"/>
      <c r="T11" s="56"/>
      <c r="U11" s="56"/>
      <c r="V11" s="56"/>
      <c r="W11" s="56"/>
      <c r="X11" s="56"/>
      <c r="Y11" s="56"/>
    </row>
    <row r="12">
      <c r="A12" s="56"/>
      <c r="B12" s="106">
        <v>7.0</v>
      </c>
      <c r="C12" s="107" t="s">
        <v>4</v>
      </c>
      <c r="D12" s="108">
        <v>46084.0</v>
      </c>
      <c r="E12" s="109"/>
      <c r="F12" s="110" t="s">
        <v>150</v>
      </c>
      <c r="G12" s="111"/>
      <c r="I12" s="51" t="s">
        <v>67</v>
      </c>
      <c r="J12" s="61"/>
      <c r="M12" s="56"/>
      <c r="Q12" s="56"/>
      <c r="R12" s="56"/>
      <c r="S12" s="56"/>
      <c r="T12" s="56"/>
      <c r="U12" s="56"/>
      <c r="V12" s="56"/>
      <c r="W12" s="56"/>
      <c r="X12" s="56"/>
      <c r="Y12" s="56"/>
    </row>
    <row r="13" ht="22.5" customHeight="1">
      <c r="A13" s="56"/>
      <c r="B13" s="106">
        <v>8.0</v>
      </c>
      <c r="C13" s="107" t="s">
        <v>4</v>
      </c>
      <c r="D13" s="108">
        <v>46085.0</v>
      </c>
      <c r="E13" s="109"/>
      <c r="F13" s="110" t="s">
        <v>154</v>
      </c>
      <c r="G13" s="111"/>
      <c r="H13" s="56"/>
      <c r="I13" s="56"/>
      <c r="J13" s="56"/>
      <c r="K13" s="56"/>
      <c r="L13" s="56"/>
      <c r="M13" s="56"/>
      <c r="N13" s="120" t="s">
        <v>34</v>
      </c>
      <c r="O13" s="121" t="s">
        <v>35</v>
      </c>
      <c r="Q13" s="56"/>
      <c r="R13" s="56"/>
      <c r="S13" s="56"/>
      <c r="T13" s="56"/>
      <c r="U13" s="56"/>
      <c r="V13" s="56"/>
      <c r="W13" s="56"/>
      <c r="X13" s="56"/>
      <c r="Y13" s="56"/>
    </row>
    <row r="14" ht="22.5" customHeight="1">
      <c r="A14" s="56"/>
      <c r="B14" s="106">
        <v>9.0</v>
      </c>
      <c r="C14" s="107" t="s">
        <v>4</v>
      </c>
      <c r="D14" s="108">
        <v>46087.0</v>
      </c>
      <c r="E14" s="109"/>
      <c r="F14" s="110" t="s">
        <v>160</v>
      </c>
      <c r="G14" s="111"/>
      <c r="H14" s="56"/>
      <c r="I14" s="56"/>
      <c r="J14" s="56"/>
      <c r="N14" s="123">
        <v>46054.0</v>
      </c>
      <c r="O14" s="125">
        <f t="shared" ref="O14:O19" si="2">COUNTIFS($D$6:$D$49, "&gt;="&amp;N14, $D$6:$D$49, "&lt;="&amp;EOMONTH(N14, 0), $C$6:$C$49, "Completed")</f>
        <v>3</v>
      </c>
      <c r="Q14" s="56"/>
      <c r="R14" s="56"/>
      <c r="S14" s="56"/>
      <c r="T14" s="56"/>
      <c r="U14" s="56"/>
      <c r="V14" s="56"/>
      <c r="W14" s="56"/>
      <c r="X14" s="56"/>
      <c r="Y14" s="56"/>
    </row>
    <row r="15" ht="22.5" customHeight="1">
      <c r="A15" s="56"/>
      <c r="B15" s="106">
        <v>10.0</v>
      </c>
      <c r="C15" s="107" t="s">
        <v>4</v>
      </c>
      <c r="D15" s="108">
        <v>46089.0</v>
      </c>
      <c r="E15" s="109"/>
      <c r="F15" s="110" t="s">
        <v>167</v>
      </c>
      <c r="G15" s="111"/>
      <c r="H15" s="56"/>
      <c r="I15" s="56"/>
      <c r="J15" s="56"/>
      <c r="N15" s="123">
        <v>46082.0</v>
      </c>
      <c r="O15" s="125">
        <f t="shared" si="2"/>
        <v>15</v>
      </c>
      <c r="Q15" s="56"/>
      <c r="R15" s="56"/>
      <c r="S15" s="56"/>
      <c r="T15" s="56"/>
      <c r="U15" s="56"/>
      <c r="V15" s="56"/>
      <c r="W15" s="56"/>
      <c r="X15" s="56"/>
      <c r="Y15" s="56"/>
    </row>
    <row r="16" ht="22.5" customHeight="1">
      <c r="A16" s="56"/>
      <c r="B16" s="106">
        <v>11.0</v>
      </c>
      <c r="C16" s="107" t="s">
        <v>4</v>
      </c>
      <c r="D16" s="108">
        <v>46090.0</v>
      </c>
      <c r="E16" s="109"/>
      <c r="F16" s="110" t="s">
        <v>171</v>
      </c>
      <c r="G16" s="111"/>
      <c r="H16" s="56"/>
      <c r="I16" s="67" t="s">
        <v>73</v>
      </c>
      <c r="J16" s="67" t="s">
        <v>4</v>
      </c>
      <c r="K16" s="67" t="s">
        <v>36</v>
      </c>
      <c r="L16" s="56"/>
      <c r="M16" s="56"/>
      <c r="N16" s="123">
        <v>46113.0</v>
      </c>
      <c r="O16" s="125">
        <f t="shared" si="2"/>
        <v>5</v>
      </c>
      <c r="Q16" s="56"/>
      <c r="R16" s="56"/>
      <c r="S16" s="56"/>
      <c r="T16" s="56"/>
      <c r="U16" s="56"/>
      <c r="V16" s="56"/>
      <c r="W16" s="56"/>
      <c r="X16" s="56"/>
      <c r="Y16" s="56"/>
    </row>
    <row r="17" ht="22.5" customHeight="1">
      <c r="A17" s="56"/>
      <c r="B17" s="106">
        <v>12.0</v>
      </c>
      <c r="C17" s="107" t="s">
        <v>4</v>
      </c>
      <c r="D17" s="108">
        <v>46090.0</v>
      </c>
      <c r="E17" s="109"/>
      <c r="F17" s="110" t="s">
        <v>175</v>
      </c>
      <c r="G17" s="111"/>
      <c r="H17" s="56"/>
      <c r="I17" s="67" t="s">
        <v>75</v>
      </c>
      <c r="J17" s="69">
        <f>J6</f>
        <v>44</v>
      </c>
      <c r="K17" s="69">
        <f>J7</f>
        <v>0</v>
      </c>
      <c r="L17" s="56"/>
      <c r="M17" s="56"/>
      <c r="N17" s="123">
        <v>46143.0</v>
      </c>
      <c r="O17" s="125">
        <f t="shared" si="2"/>
        <v>4</v>
      </c>
      <c r="Q17" s="56"/>
      <c r="R17" s="56"/>
      <c r="S17" s="56"/>
      <c r="T17" s="56"/>
      <c r="U17" s="56"/>
      <c r="V17" s="56"/>
      <c r="W17" s="56"/>
      <c r="X17" s="56"/>
      <c r="Y17" s="56"/>
    </row>
    <row r="18" ht="22.5" customHeight="1">
      <c r="A18" s="56"/>
      <c r="B18" s="106">
        <v>13.0</v>
      </c>
      <c r="C18" s="107" t="s">
        <v>4</v>
      </c>
      <c r="D18" s="108">
        <v>46091.0</v>
      </c>
      <c r="E18" s="109"/>
      <c r="F18" s="110" t="s">
        <v>180</v>
      </c>
      <c r="G18" s="111"/>
      <c r="H18" s="56"/>
      <c r="I18" s="56"/>
      <c r="J18" s="56"/>
      <c r="K18" s="56"/>
      <c r="L18" s="56"/>
      <c r="M18" s="56"/>
      <c r="N18" s="123">
        <v>46174.0</v>
      </c>
      <c r="O18" s="125">
        <f t="shared" si="2"/>
        <v>8</v>
      </c>
      <c r="Q18" s="56"/>
      <c r="R18" s="56"/>
      <c r="S18" s="56"/>
      <c r="T18" s="56"/>
      <c r="U18" s="56"/>
      <c r="V18" s="56"/>
      <c r="W18" s="56"/>
      <c r="X18" s="56"/>
      <c r="Y18" s="56"/>
    </row>
    <row r="19" ht="22.5" customHeight="1">
      <c r="A19" s="56"/>
      <c r="B19" s="106">
        <v>14.0</v>
      </c>
      <c r="C19" s="107" t="s">
        <v>4</v>
      </c>
      <c r="D19" s="108">
        <v>46096.0</v>
      </c>
      <c r="E19" s="109"/>
      <c r="F19" s="110" t="s">
        <v>184</v>
      </c>
      <c r="G19" s="111"/>
      <c r="H19" s="56"/>
      <c r="I19" s="56"/>
      <c r="J19" s="56"/>
      <c r="K19" s="56"/>
      <c r="L19" s="56"/>
      <c r="M19" s="56"/>
      <c r="N19" s="123">
        <v>46204.0</v>
      </c>
      <c r="O19" s="125">
        <f t="shared" si="2"/>
        <v>9</v>
      </c>
      <c r="Q19" s="56"/>
      <c r="R19" s="56"/>
      <c r="S19" s="56"/>
      <c r="T19" s="56"/>
      <c r="U19" s="56"/>
      <c r="V19" s="56"/>
      <c r="W19" s="56"/>
      <c r="X19" s="56"/>
      <c r="Y19" s="56"/>
    </row>
    <row r="20">
      <c r="A20" s="56"/>
      <c r="B20" s="106">
        <v>15.0</v>
      </c>
      <c r="C20" s="107" t="s">
        <v>4</v>
      </c>
      <c r="D20" s="108">
        <v>46097.0</v>
      </c>
      <c r="E20" s="109"/>
      <c r="F20" s="110" t="s">
        <v>188</v>
      </c>
      <c r="G20" s="111"/>
      <c r="H20" s="56"/>
      <c r="I20" s="56"/>
      <c r="J20" s="56"/>
      <c r="K20" s="56"/>
      <c r="L20" s="56"/>
      <c r="M20" s="56"/>
      <c r="N20" s="66"/>
      <c r="O20" s="56"/>
      <c r="P20" s="56"/>
      <c r="Q20" s="56"/>
      <c r="R20" s="56"/>
      <c r="S20" s="56"/>
      <c r="T20" s="56"/>
      <c r="U20" s="56"/>
      <c r="V20" s="56"/>
      <c r="W20" s="56"/>
      <c r="X20" s="56"/>
      <c r="Y20" s="56"/>
    </row>
    <row r="21">
      <c r="A21" s="56"/>
      <c r="B21" s="106">
        <v>16.0</v>
      </c>
      <c r="C21" s="107" t="s">
        <v>4</v>
      </c>
      <c r="D21" s="108">
        <v>46103.0</v>
      </c>
      <c r="E21" s="109"/>
      <c r="F21" s="110" t="s">
        <v>193</v>
      </c>
      <c r="G21" s="111"/>
      <c r="H21" s="56"/>
      <c r="I21" s="56"/>
      <c r="J21" s="56"/>
      <c r="K21" s="56"/>
      <c r="L21" s="56"/>
      <c r="M21" s="56"/>
      <c r="N21" s="66"/>
      <c r="O21" s="56"/>
      <c r="P21" s="56"/>
      <c r="Q21" s="56"/>
      <c r="R21" s="56"/>
      <c r="S21" s="56"/>
      <c r="T21" s="56"/>
      <c r="U21" s="56"/>
      <c r="V21" s="56"/>
      <c r="W21" s="56"/>
      <c r="X21" s="56"/>
      <c r="Y21" s="56"/>
    </row>
    <row r="22">
      <c r="A22" s="56"/>
      <c r="B22" s="106">
        <v>17.0</v>
      </c>
      <c r="C22" s="107" t="s">
        <v>4</v>
      </c>
      <c r="D22" s="108">
        <v>46104.0</v>
      </c>
      <c r="E22" s="109"/>
      <c r="F22" s="110" t="s">
        <v>195</v>
      </c>
      <c r="G22" s="111"/>
      <c r="H22" s="56"/>
      <c r="I22" s="56"/>
      <c r="J22" s="56"/>
      <c r="K22" s="56"/>
      <c r="L22" s="56"/>
      <c r="M22" s="56"/>
      <c r="N22" s="66"/>
      <c r="O22" s="56"/>
      <c r="P22" s="56"/>
      <c r="Q22" s="56"/>
      <c r="R22" s="56"/>
      <c r="S22" s="56"/>
      <c r="T22" s="56"/>
      <c r="U22" s="56"/>
      <c r="V22" s="56"/>
      <c r="W22" s="56"/>
      <c r="X22" s="56"/>
      <c r="Y22" s="56"/>
    </row>
    <row r="23">
      <c r="A23" s="56"/>
      <c r="B23" s="106">
        <v>18.0</v>
      </c>
      <c r="C23" s="107" t="s">
        <v>4</v>
      </c>
      <c r="D23" s="108">
        <v>46112.0</v>
      </c>
      <c r="E23" s="109"/>
      <c r="F23" s="110" t="s">
        <v>197</v>
      </c>
      <c r="G23" s="111"/>
      <c r="H23" s="56"/>
      <c r="I23" s="56"/>
      <c r="J23" s="56"/>
      <c r="K23" s="56"/>
      <c r="L23" s="56"/>
      <c r="M23" s="56"/>
      <c r="N23" s="66"/>
      <c r="O23" s="56"/>
      <c r="P23" s="56"/>
      <c r="Q23" s="56"/>
      <c r="R23" s="56"/>
      <c r="S23" s="56"/>
      <c r="T23" s="56"/>
      <c r="U23" s="56"/>
      <c r="V23" s="56"/>
      <c r="W23" s="56"/>
      <c r="X23" s="56"/>
      <c r="Y23" s="56"/>
    </row>
    <row r="24">
      <c r="A24" s="56"/>
      <c r="B24" s="106">
        <v>19.0</v>
      </c>
      <c r="C24" s="107" t="s">
        <v>4</v>
      </c>
      <c r="D24" s="108">
        <v>46129.0</v>
      </c>
      <c r="E24" s="109"/>
      <c r="F24" s="110" t="s">
        <v>201</v>
      </c>
      <c r="G24" s="111"/>
      <c r="H24" s="56"/>
      <c r="I24" s="56"/>
      <c r="J24" s="56"/>
      <c r="K24" s="56"/>
      <c r="L24" s="56"/>
      <c r="M24" s="56"/>
      <c r="N24" s="66"/>
      <c r="O24" s="56"/>
      <c r="P24" s="56"/>
      <c r="Q24" s="56"/>
      <c r="R24" s="56"/>
      <c r="S24" s="56"/>
      <c r="T24" s="56"/>
      <c r="U24" s="56"/>
      <c r="V24" s="56"/>
      <c r="W24" s="56"/>
      <c r="X24" s="56"/>
      <c r="Y24" s="56"/>
    </row>
    <row r="25">
      <c r="A25" s="56"/>
      <c r="B25" s="106">
        <v>20.0</v>
      </c>
      <c r="C25" s="107" t="s">
        <v>4</v>
      </c>
      <c r="D25" s="108">
        <v>46131.0</v>
      </c>
      <c r="E25" s="109"/>
      <c r="F25" s="110" t="s">
        <v>203</v>
      </c>
      <c r="G25" s="111"/>
      <c r="H25" s="56"/>
      <c r="I25" s="56"/>
      <c r="J25" s="56"/>
      <c r="K25" s="56"/>
      <c r="L25" s="56"/>
      <c r="M25" s="56"/>
      <c r="N25" s="66"/>
      <c r="O25" s="56"/>
      <c r="P25" s="56"/>
      <c r="Q25" s="56"/>
      <c r="R25" s="56"/>
      <c r="S25" s="56"/>
      <c r="T25" s="56"/>
      <c r="U25" s="56"/>
      <c r="V25" s="56"/>
      <c r="W25" s="56"/>
      <c r="X25" s="56"/>
      <c r="Y25" s="56"/>
    </row>
    <row r="26">
      <c r="A26" s="56"/>
      <c r="B26" s="106">
        <v>21.0</v>
      </c>
      <c r="C26" s="107" t="s">
        <v>4</v>
      </c>
      <c r="D26" s="108">
        <v>46131.0</v>
      </c>
      <c r="E26" s="109"/>
      <c r="F26" s="110" t="s">
        <v>207</v>
      </c>
      <c r="G26" s="111"/>
      <c r="H26" s="56"/>
      <c r="I26" s="56"/>
      <c r="J26" s="56"/>
      <c r="K26" s="56"/>
      <c r="L26" s="56"/>
      <c r="M26" s="56"/>
      <c r="N26" s="66"/>
      <c r="O26" s="56"/>
      <c r="P26" s="56"/>
      <c r="Q26" s="56"/>
      <c r="R26" s="56"/>
      <c r="S26" s="56"/>
      <c r="T26" s="56"/>
      <c r="U26" s="56"/>
      <c r="V26" s="56"/>
      <c r="W26" s="56"/>
      <c r="X26" s="56"/>
      <c r="Y26" s="56"/>
    </row>
    <row r="27">
      <c r="A27" s="56"/>
      <c r="B27" s="106">
        <v>22.0</v>
      </c>
      <c r="C27" s="107" t="s">
        <v>4</v>
      </c>
      <c r="D27" s="108">
        <v>46138.0</v>
      </c>
      <c r="E27" s="109"/>
      <c r="F27" s="110" t="s">
        <v>210</v>
      </c>
      <c r="G27" s="111"/>
      <c r="H27" s="56"/>
      <c r="I27" s="56"/>
      <c r="J27" s="56"/>
      <c r="K27" s="56"/>
      <c r="L27" s="56"/>
      <c r="M27" s="56"/>
      <c r="N27" s="66"/>
      <c r="O27" s="56"/>
      <c r="P27" s="56"/>
      <c r="Q27" s="56"/>
      <c r="R27" s="56"/>
      <c r="S27" s="56"/>
      <c r="T27" s="56"/>
      <c r="U27" s="56"/>
      <c r="V27" s="56"/>
      <c r="W27" s="56"/>
      <c r="X27" s="56"/>
      <c r="Y27" s="56"/>
    </row>
    <row r="28">
      <c r="A28" s="56"/>
      <c r="B28" s="106">
        <v>23.0</v>
      </c>
      <c r="C28" s="107" t="s">
        <v>4</v>
      </c>
      <c r="D28" s="108">
        <v>46142.0</v>
      </c>
      <c r="E28" s="109"/>
      <c r="F28" s="110" t="s">
        <v>213</v>
      </c>
      <c r="G28" s="111"/>
      <c r="H28" s="56"/>
      <c r="I28" s="56"/>
      <c r="J28" s="56"/>
      <c r="K28" s="56"/>
      <c r="L28" s="56"/>
      <c r="M28" s="56"/>
      <c r="N28" s="66"/>
      <c r="O28" s="56"/>
      <c r="P28" s="56"/>
      <c r="Q28" s="56"/>
      <c r="R28" s="56"/>
      <c r="S28" s="56"/>
      <c r="T28" s="56"/>
      <c r="U28" s="56"/>
      <c r="V28" s="56"/>
      <c r="W28" s="56"/>
      <c r="X28" s="56"/>
      <c r="Y28" s="56"/>
    </row>
    <row r="29">
      <c r="A29" s="56"/>
      <c r="B29" s="106">
        <v>24.0</v>
      </c>
      <c r="C29" s="107" t="s">
        <v>4</v>
      </c>
      <c r="D29" s="108">
        <v>46143.0</v>
      </c>
      <c r="E29" s="109"/>
      <c r="F29" s="110" t="s">
        <v>217</v>
      </c>
      <c r="G29" s="111"/>
      <c r="H29" s="56"/>
      <c r="I29" s="56"/>
      <c r="J29" s="56"/>
      <c r="K29" s="56"/>
      <c r="L29" s="56"/>
      <c r="M29" s="56"/>
      <c r="N29" s="66"/>
      <c r="O29" s="56"/>
      <c r="P29" s="56"/>
      <c r="Q29" s="56"/>
      <c r="R29" s="56"/>
      <c r="S29" s="56"/>
      <c r="T29" s="56"/>
      <c r="U29" s="56"/>
      <c r="V29" s="56"/>
      <c r="W29" s="56"/>
      <c r="X29" s="56"/>
      <c r="Y29" s="56"/>
    </row>
    <row r="30">
      <c r="A30" s="56"/>
      <c r="B30" s="106">
        <v>25.0</v>
      </c>
      <c r="C30" s="107" t="s">
        <v>4</v>
      </c>
      <c r="D30" s="108">
        <v>46147.0</v>
      </c>
      <c r="E30" s="109"/>
      <c r="F30" s="110" t="s">
        <v>220</v>
      </c>
      <c r="G30" s="111"/>
      <c r="H30" s="56"/>
      <c r="I30" s="56"/>
      <c r="J30" s="56"/>
      <c r="K30" s="56"/>
      <c r="L30" s="56"/>
      <c r="M30" s="56"/>
      <c r="N30" s="66"/>
      <c r="O30" s="56"/>
      <c r="P30" s="56"/>
      <c r="Q30" s="56"/>
      <c r="R30" s="56"/>
      <c r="S30" s="56"/>
      <c r="T30" s="56"/>
      <c r="U30" s="56"/>
      <c r="V30" s="56"/>
      <c r="W30" s="56"/>
      <c r="X30" s="56"/>
      <c r="Y30" s="56"/>
    </row>
    <row r="31">
      <c r="A31" s="56"/>
      <c r="B31" s="106">
        <v>26.0</v>
      </c>
      <c r="C31" s="107" t="s">
        <v>4</v>
      </c>
      <c r="D31" s="108">
        <v>46153.0</v>
      </c>
      <c r="E31" s="109"/>
      <c r="F31" s="110" t="s">
        <v>222</v>
      </c>
      <c r="G31" s="111"/>
      <c r="H31" s="56"/>
      <c r="I31" s="56"/>
      <c r="J31" s="56"/>
      <c r="K31" s="56"/>
      <c r="L31" s="56"/>
      <c r="M31" s="56"/>
      <c r="N31" s="66"/>
      <c r="O31" s="56"/>
      <c r="P31" s="56"/>
      <c r="Q31" s="56"/>
      <c r="R31" s="56"/>
      <c r="S31" s="56"/>
      <c r="T31" s="56"/>
      <c r="U31" s="56"/>
      <c r="V31" s="56"/>
      <c r="W31" s="56"/>
      <c r="X31" s="56"/>
      <c r="Y31" s="56"/>
    </row>
    <row r="32">
      <c r="A32" s="56"/>
      <c r="B32" s="106">
        <v>27.0</v>
      </c>
      <c r="C32" s="107" t="s">
        <v>4</v>
      </c>
      <c r="D32" s="108">
        <v>46154.0</v>
      </c>
      <c r="E32" s="109"/>
      <c r="F32" s="110" t="s">
        <v>225</v>
      </c>
      <c r="G32" s="111"/>
      <c r="H32" s="56"/>
      <c r="I32" s="56"/>
      <c r="J32" s="56"/>
      <c r="K32" s="56"/>
      <c r="L32" s="56"/>
      <c r="M32" s="56"/>
      <c r="N32" s="66"/>
      <c r="O32" s="56"/>
      <c r="P32" s="56"/>
      <c r="Q32" s="56"/>
      <c r="R32" s="56"/>
      <c r="S32" s="56"/>
      <c r="T32" s="56"/>
      <c r="U32" s="56"/>
      <c r="V32" s="56"/>
      <c r="W32" s="56"/>
      <c r="X32" s="56"/>
      <c r="Y32" s="56"/>
    </row>
    <row r="33">
      <c r="A33" s="56"/>
      <c r="B33" s="106">
        <v>28.0</v>
      </c>
      <c r="C33" s="107" t="s">
        <v>4</v>
      </c>
      <c r="D33" s="108">
        <v>46189.0</v>
      </c>
      <c r="E33" s="109"/>
      <c r="F33" s="110" t="s">
        <v>228</v>
      </c>
      <c r="G33" s="111"/>
      <c r="H33" s="56"/>
      <c r="I33" s="56"/>
      <c r="J33" s="56"/>
      <c r="K33" s="56"/>
      <c r="L33" s="56"/>
      <c r="M33" s="56"/>
      <c r="N33" s="66"/>
      <c r="O33" s="56"/>
      <c r="P33" s="56"/>
      <c r="Q33" s="56"/>
      <c r="R33" s="56"/>
      <c r="S33" s="56"/>
      <c r="T33" s="56"/>
      <c r="U33" s="56"/>
      <c r="V33" s="56"/>
      <c r="W33" s="56"/>
      <c r="X33" s="56"/>
      <c r="Y33" s="56"/>
    </row>
    <row r="34">
      <c r="A34" s="56"/>
      <c r="B34" s="106">
        <v>29.0</v>
      </c>
      <c r="C34" s="107" t="s">
        <v>4</v>
      </c>
      <c r="D34" s="108">
        <v>46190.0</v>
      </c>
      <c r="E34" s="109"/>
      <c r="F34" s="110" t="s">
        <v>232</v>
      </c>
      <c r="G34" s="111"/>
      <c r="H34" s="56"/>
      <c r="I34" s="56"/>
      <c r="J34" s="56"/>
      <c r="K34" s="56"/>
      <c r="L34" s="56"/>
      <c r="M34" s="56"/>
      <c r="N34" s="66"/>
      <c r="O34" s="56"/>
      <c r="P34" s="56"/>
      <c r="Q34" s="56"/>
      <c r="R34" s="56"/>
      <c r="S34" s="56"/>
      <c r="T34" s="56"/>
      <c r="U34" s="56"/>
      <c r="V34" s="56"/>
      <c r="W34" s="56"/>
      <c r="X34" s="56"/>
      <c r="Y34" s="56"/>
    </row>
    <row r="35">
      <c r="A35" s="56"/>
      <c r="B35" s="106">
        <v>30.0</v>
      </c>
      <c r="C35" s="107" t="s">
        <v>4</v>
      </c>
      <c r="D35" s="108">
        <v>46191.0</v>
      </c>
      <c r="E35" s="109"/>
      <c r="F35" s="110" t="s">
        <v>235</v>
      </c>
      <c r="G35" s="111"/>
      <c r="H35" s="56"/>
      <c r="I35" s="56"/>
      <c r="J35" s="56"/>
      <c r="K35" s="56"/>
      <c r="L35" s="56"/>
      <c r="M35" s="56"/>
      <c r="N35" s="66"/>
      <c r="O35" s="56"/>
      <c r="P35" s="56"/>
      <c r="Q35" s="56"/>
      <c r="R35" s="56"/>
      <c r="S35" s="56"/>
      <c r="T35" s="56"/>
      <c r="U35" s="56"/>
      <c r="V35" s="56"/>
      <c r="W35" s="56"/>
      <c r="X35" s="56"/>
      <c r="Y35" s="56"/>
    </row>
    <row r="36">
      <c r="A36" s="56"/>
      <c r="B36" s="106">
        <v>31.0</v>
      </c>
      <c r="C36" s="107" t="s">
        <v>4</v>
      </c>
      <c r="D36" s="108">
        <v>46192.0</v>
      </c>
      <c r="E36" s="109"/>
      <c r="F36" s="110" t="s">
        <v>239</v>
      </c>
      <c r="G36" s="111"/>
      <c r="H36" s="56"/>
      <c r="I36" s="56"/>
      <c r="J36" s="56"/>
      <c r="K36" s="56"/>
      <c r="L36" s="56"/>
      <c r="M36" s="56"/>
      <c r="N36" s="66"/>
      <c r="O36" s="56"/>
      <c r="P36" s="56"/>
      <c r="Q36" s="56"/>
      <c r="R36" s="56"/>
      <c r="S36" s="56"/>
      <c r="T36" s="56"/>
      <c r="U36" s="56"/>
      <c r="V36" s="56"/>
      <c r="W36" s="56"/>
      <c r="X36" s="56"/>
      <c r="Y36" s="56"/>
    </row>
    <row r="37">
      <c r="A37" s="56"/>
      <c r="B37" s="106">
        <v>32.0</v>
      </c>
      <c r="C37" s="107" t="s">
        <v>4</v>
      </c>
      <c r="D37" s="108">
        <v>46195.0</v>
      </c>
      <c r="E37" s="109"/>
      <c r="F37" s="110" t="s">
        <v>243</v>
      </c>
      <c r="G37" s="111"/>
      <c r="H37" s="56"/>
      <c r="I37" s="56"/>
      <c r="J37" s="56"/>
      <c r="K37" s="56"/>
      <c r="L37" s="56"/>
      <c r="M37" s="56"/>
      <c r="N37" s="66"/>
      <c r="O37" s="56"/>
      <c r="P37" s="56"/>
      <c r="Q37" s="56"/>
      <c r="R37" s="56"/>
      <c r="S37" s="56"/>
      <c r="T37" s="56"/>
      <c r="U37" s="56"/>
      <c r="V37" s="56"/>
      <c r="W37" s="56"/>
      <c r="X37" s="56"/>
      <c r="Y37" s="56"/>
    </row>
    <row r="38">
      <c r="A38" s="56"/>
      <c r="B38" s="106">
        <v>33.0</v>
      </c>
      <c r="C38" s="107" t="s">
        <v>4</v>
      </c>
      <c r="D38" s="108">
        <v>46197.0</v>
      </c>
      <c r="E38" s="109"/>
      <c r="F38" s="110" t="s">
        <v>248</v>
      </c>
      <c r="G38" s="111"/>
      <c r="H38" s="56"/>
      <c r="I38" s="56"/>
      <c r="J38" s="56"/>
      <c r="K38" s="56"/>
      <c r="L38" s="56"/>
      <c r="M38" s="56"/>
      <c r="N38" s="66"/>
      <c r="O38" s="56"/>
      <c r="P38" s="56"/>
      <c r="Q38" s="56"/>
      <c r="R38" s="56"/>
      <c r="S38" s="56"/>
      <c r="T38" s="56"/>
      <c r="U38" s="56"/>
      <c r="V38" s="56"/>
      <c r="W38" s="56"/>
      <c r="X38" s="56"/>
      <c r="Y38" s="56"/>
    </row>
    <row r="39">
      <c r="A39" s="56"/>
      <c r="B39" s="106">
        <v>34.0</v>
      </c>
      <c r="C39" s="107" t="s">
        <v>4</v>
      </c>
      <c r="D39" s="108">
        <v>46198.0</v>
      </c>
      <c r="E39" s="109"/>
      <c r="F39" s="110" t="s">
        <v>251</v>
      </c>
      <c r="G39" s="111"/>
      <c r="H39" s="56"/>
      <c r="I39" s="56"/>
      <c r="J39" s="56"/>
      <c r="K39" s="56"/>
      <c r="L39" s="56"/>
      <c r="M39" s="56"/>
      <c r="N39" s="66"/>
      <c r="O39" s="56"/>
      <c r="P39" s="56"/>
      <c r="Q39" s="56"/>
      <c r="R39" s="56"/>
      <c r="S39" s="56"/>
      <c r="T39" s="56"/>
      <c r="U39" s="56"/>
      <c r="V39" s="56"/>
      <c r="W39" s="56"/>
      <c r="X39" s="56"/>
      <c r="Y39" s="56"/>
    </row>
    <row r="40">
      <c r="A40" s="56"/>
      <c r="B40" s="106">
        <v>35.0</v>
      </c>
      <c r="C40" s="107" t="s">
        <v>4</v>
      </c>
      <c r="D40" s="108">
        <v>46200.0</v>
      </c>
      <c r="E40" s="109"/>
      <c r="F40" s="110" t="s">
        <v>256</v>
      </c>
      <c r="G40" s="111"/>
      <c r="H40" s="56"/>
      <c r="I40" s="56"/>
      <c r="J40" s="56"/>
      <c r="K40" s="56"/>
      <c r="L40" s="56"/>
      <c r="M40" s="56"/>
      <c r="N40" s="66"/>
      <c r="O40" s="56"/>
      <c r="P40" s="56"/>
      <c r="Q40" s="56"/>
      <c r="R40" s="56"/>
      <c r="S40" s="56"/>
      <c r="T40" s="56"/>
      <c r="U40" s="56"/>
      <c r="V40" s="56"/>
      <c r="W40" s="56"/>
      <c r="X40" s="56"/>
      <c r="Y40" s="56"/>
    </row>
    <row r="41">
      <c r="A41" s="56"/>
      <c r="B41" s="106">
        <v>36.0</v>
      </c>
      <c r="C41" s="107" t="s">
        <v>4</v>
      </c>
      <c r="D41" s="108">
        <v>46206.0</v>
      </c>
      <c r="E41" s="109"/>
      <c r="F41" s="110" t="s">
        <v>260</v>
      </c>
      <c r="G41" s="111"/>
      <c r="H41" s="56"/>
      <c r="I41" s="56"/>
      <c r="J41" s="56"/>
      <c r="K41" s="56"/>
      <c r="L41" s="56"/>
      <c r="M41" s="56"/>
      <c r="N41" s="66"/>
      <c r="O41" s="56"/>
      <c r="P41" s="56"/>
      <c r="Q41" s="56"/>
      <c r="R41" s="56"/>
      <c r="S41" s="56"/>
      <c r="T41" s="56"/>
      <c r="U41" s="56"/>
      <c r="V41" s="56"/>
      <c r="W41" s="56"/>
      <c r="X41" s="56"/>
      <c r="Y41" s="56"/>
    </row>
    <row r="42">
      <c r="A42" s="56"/>
      <c r="B42" s="106">
        <v>37.0</v>
      </c>
      <c r="C42" s="107" t="s">
        <v>4</v>
      </c>
      <c r="D42" s="108">
        <v>46209.0</v>
      </c>
      <c r="E42" s="109"/>
      <c r="F42" s="110" t="s">
        <v>264</v>
      </c>
      <c r="G42" s="111"/>
      <c r="H42" s="56"/>
      <c r="I42" s="56"/>
      <c r="J42" s="56"/>
      <c r="K42" s="56"/>
      <c r="L42" s="56"/>
      <c r="M42" s="56"/>
      <c r="N42" s="66"/>
      <c r="O42" s="56"/>
      <c r="P42" s="56"/>
      <c r="Q42" s="56"/>
      <c r="R42" s="56"/>
      <c r="S42" s="56"/>
      <c r="T42" s="56"/>
      <c r="U42" s="56"/>
      <c r="V42" s="56"/>
      <c r="W42" s="56"/>
      <c r="X42" s="56"/>
      <c r="Y42" s="56"/>
    </row>
    <row r="43">
      <c r="A43" s="56"/>
      <c r="B43" s="106">
        <v>38.0</v>
      </c>
      <c r="C43" s="107" t="s">
        <v>4</v>
      </c>
      <c r="D43" s="108">
        <v>46213.0</v>
      </c>
      <c r="E43" s="109"/>
      <c r="F43" s="110" t="s">
        <v>272</v>
      </c>
      <c r="G43" s="111"/>
      <c r="H43" s="56"/>
      <c r="I43" s="56"/>
      <c r="J43" s="56"/>
      <c r="K43" s="56"/>
      <c r="L43" s="56"/>
      <c r="M43" s="56"/>
      <c r="N43" s="66"/>
      <c r="O43" s="56"/>
      <c r="P43" s="56"/>
      <c r="Q43" s="56"/>
      <c r="R43" s="56"/>
      <c r="S43" s="56"/>
      <c r="T43" s="56"/>
      <c r="U43" s="56"/>
      <c r="V43" s="56"/>
      <c r="W43" s="56"/>
      <c r="X43" s="56"/>
      <c r="Y43" s="56"/>
    </row>
    <row r="44">
      <c r="A44" s="56"/>
      <c r="B44" s="106">
        <v>39.0</v>
      </c>
      <c r="C44" s="107" t="s">
        <v>4</v>
      </c>
      <c r="D44" s="108">
        <v>46214.0</v>
      </c>
      <c r="E44" s="109"/>
      <c r="F44" s="110" t="s">
        <v>274</v>
      </c>
      <c r="G44" s="111"/>
      <c r="H44" s="56"/>
      <c r="I44" s="56"/>
      <c r="J44" s="56"/>
      <c r="K44" s="56"/>
      <c r="L44" s="56"/>
      <c r="M44" s="56"/>
      <c r="N44" s="66"/>
      <c r="O44" s="56"/>
      <c r="P44" s="56"/>
      <c r="Q44" s="56"/>
      <c r="R44" s="56"/>
      <c r="S44" s="56"/>
      <c r="T44" s="56"/>
      <c r="U44" s="56"/>
      <c r="V44" s="56"/>
      <c r="W44" s="56"/>
      <c r="X44" s="56"/>
      <c r="Y44" s="56"/>
    </row>
    <row r="45">
      <c r="A45" s="56"/>
      <c r="B45" s="106">
        <v>40.0</v>
      </c>
      <c r="C45" s="107" t="s">
        <v>4</v>
      </c>
      <c r="D45" s="108">
        <v>46216.0</v>
      </c>
      <c r="E45" s="109"/>
      <c r="F45" s="110" t="s">
        <v>277</v>
      </c>
      <c r="G45" s="111"/>
      <c r="H45" s="56"/>
      <c r="I45" s="56"/>
      <c r="J45" s="56"/>
      <c r="K45" s="56"/>
      <c r="L45" s="56"/>
      <c r="M45" s="56"/>
      <c r="N45" s="66"/>
      <c r="O45" s="56"/>
      <c r="P45" s="56"/>
      <c r="Q45" s="56"/>
      <c r="R45" s="56"/>
      <c r="S45" s="56"/>
      <c r="T45" s="56"/>
      <c r="U45" s="56"/>
      <c r="V45" s="56"/>
      <c r="W45" s="56"/>
      <c r="X45" s="56"/>
      <c r="Y45" s="56"/>
    </row>
    <row r="46">
      <c r="A46" s="56"/>
      <c r="B46" s="106">
        <v>41.0</v>
      </c>
      <c r="C46" s="107" t="s">
        <v>4</v>
      </c>
      <c r="D46" s="108">
        <v>46217.0</v>
      </c>
      <c r="E46" s="109"/>
      <c r="F46" s="110" t="s">
        <v>279</v>
      </c>
      <c r="G46" s="111"/>
      <c r="H46" s="56"/>
      <c r="I46" s="56"/>
      <c r="J46" s="56"/>
      <c r="K46" s="56"/>
      <c r="L46" s="56"/>
      <c r="M46" s="56"/>
      <c r="N46" s="66"/>
      <c r="O46" s="56"/>
      <c r="P46" s="56"/>
      <c r="Q46" s="56"/>
      <c r="R46" s="56"/>
      <c r="S46" s="56"/>
      <c r="T46" s="56"/>
      <c r="U46" s="56"/>
      <c r="V46" s="56"/>
      <c r="W46" s="56"/>
      <c r="X46" s="56"/>
      <c r="Y46" s="56"/>
    </row>
    <row r="47">
      <c r="A47" s="56"/>
      <c r="B47" s="131">
        <v>42.0</v>
      </c>
      <c r="C47" s="132" t="s">
        <v>4</v>
      </c>
      <c r="D47" s="133">
        <v>46218.0</v>
      </c>
      <c r="E47" s="134"/>
      <c r="F47" s="135" t="s">
        <v>282</v>
      </c>
      <c r="G47" s="111"/>
      <c r="H47" s="56"/>
      <c r="I47" s="56"/>
      <c r="J47" s="56"/>
      <c r="K47" s="56"/>
      <c r="L47" s="56"/>
      <c r="M47" s="56"/>
      <c r="N47" s="66"/>
      <c r="O47" s="56"/>
      <c r="P47" s="56"/>
      <c r="Q47" s="56"/>
      <c r="R47" s="56"/>
      <c r="S47" s="56"/>
      <c r="T47" s="56"/>
      <c r="U47" s="56"/>
      <c r="V47" s="56"/>
      <c r="W47" s="56"/>
      <c r="X47" s="56"/>
      <c r="Y47" s="56"/>
    </row>
    <row r="48">
      <c r="A48" s="56"/>
      <c r="B48" s="136">
        <v>43.0</v>
      </c>
      <c r="C48" s="137" t="s">
        <v>4</v>
      </c>
      <c r="D48" s="138">
        <v>46219.0</v>
      </c>
      <c r="E48" s="139"/>
      <c r="F48" s="140" t="s">
        <v>285</v>
      </c>
      <c r="G48" s="111"/>
      <c r="H48" s="56"/>
      <c r="I48" s="56"/>
      <c r="J48" s="56"/>
      <c r="K48" s="56"/>
      <c r="L48" s="56"/>
      <c r="M48" s="56"/>
      <c r="N48" s="66"/>
      <c r="O48" s="56"/>
      <c r="P48" s="56"/>
      <c r="Q48" s="56"/>
      <c r="R48" s="56"/>
      <c r="S48" s="56"/>
      <c r="T48" s="56"/>
      <c r="U48" s="56"/>
      <c r="V48" s="56"/>
      <c r="W48" s="56"/>
      <c r="X48" s="56"/>
      <c r="Y48" s="56"/>
    </row>
    <row r="49">
      <c r="A49" s="56"/>
      <c r="B49" s="131">
        <v>44.0</v>
      </c>
      <c r="C49" s="132" t="s">
        <v>4</v>
      </c>
      <c r="D49" s="133">
        <v>46221.0</v>
      </c>
      <c r="E49" s="134"/>
      <c r="F49" s="135" t="s">
        <v>288</v>
      </c>
      <c r="G49" s="111"/>
      <c r="H49" s="56"/>
      <c r="I49" s="56"/>
      <c r="J49" s="56"/>
      <c r="K49" s="56"/>
      <c r="L49" s="56"/>
      <c r="M49" s="56"/>
      <c r="N49" s="66"/>
      <c r="O49" s="56"/>
      <c r="P49" s="56"/>
      <c r="Q49" s="56"/>
      <c r="R49" s="56"/>
      <c r="S49" s="56"/>
      <c r="T49" s="56"/>
      <c r="U49" s="56"/>
      <c r="V49" s="56"/>
      <c r="W49" s="56"/>
      <c r="X49" s="56"/>
      <c r="Y49" s="56"/>
    </row>
  </sheetData>
  <mergeCells count="1">
    <mergeCell ref="A2:H2"/>
  </mergeCells>
  <conditionalFormatting sqref="C6:C49">
    <cfRule type="cellIs" dxfId="5" priority="1" stopIfTrue="1" operator="equal">
      <formula>"Completed"</formula>
    </cfRule>
  </conditionalFormatting>
  <conditionalFormatting sqref="C6:C49">
    <cfRule type="cellIs" dxfId="6" priority="2" stopIfTrue="1" operator="equal">
      <formula>"Pending"</formula>
    </cfRule>
  </conditionalFormatting>
  <conditionalFormatting sqref="C6:C49">
    <cfRule type="cellIs" dxfId="7" priority="3" stopIfTrue="1" operator="equal">
      <formula>"Revisit"</formula>
    </cfRule>
  </conditionalFormatting>
  <dataValidations>
    <dataValidation type="custom" allowBlank="1" showDropDown="1" sqref="D6:D49">
      <formula1>OR(NOT(ISERROR(DATEVALUE(D6))), AND(ISNUMBER(D6), LEFT(CELL("format", D6))="D"))</formula1>
    </dataValidation>
    <dataValidation type="custom" allowBlank="1" showDropDown="1" sqref="N14:N19">
      <formula1>OR(NOT(ISERROR(DATEVALUE(N14))), AND(ISNUMBER(N14), LEFT(CELL("format", N14))="D"))</formula1>
    </dataValidation>
    <dataValidation type="custom" allowBlank="1" showDropDown="1" sqref="O14:O19">
      <formula1>AND(ISNUMBER(O14),(NOT(OR(NOT(ISERROR(DATEVALUE(O14))), AND(ISNUMBER(O14), LEFT(CELL("format", O14))="D")))))</formula1>
    </dataValidation>
    <dataValidation type="list" allowBlank="1" sqref="C6:C49">
      <formula1>"Pending,Completed,Revisit"</formula1>
    </dataValidation>
  </dataValidations>
  <hyperlinks>
    <hyperlink r:id="rId1" ref="F6"/>
    <hyperlink r:id="rId2" ref="F7"/>
    <hyperlink r:id="rId3" ref="F8"/>
    <hyperlink r:id="rId4" ref="F9"/>
    <hyperlink r:id="rId5" ref="F10"/>
    <hyperlink r:id="rId6" ref="F11"/>
    <hyperlink r:id="rId7" ref="F12"/>
    <hyperlink r:id="rId8" ref="F13"/>
    <hyperlink r:id="rId9" ref="F14"/>
    <hyperlink r:id="rId10" ref="F15"/>
    <hyperlink r:id="rId11" ref="F16"/>
    <hyperlink r:id="rId12" ref="F17"/>
    <hyperlink r:id="rId13" ref="F18"/>
    <hyperlink r:id="rId14" ref="F19"/>
    <hyperlink r:id="rId15" ref="F20"/>
    <hyperlink r:id="rId16" ref="F21"/>
    <hyperlink r:id="rId17" ref="F22"/>
    <hyperlink r:id="rId18" ref="F23"/>
    <hyperlink r:id="rId19" ref="F24"/>
    <hyperlink r:id="rId20" ref="F25"/>
    <hyperlink r:id="rId21" ref="F26"/>
    <hyperlink r:id="rId22" ref="F27"/>
    <hyperlink r:id="rId23" ref="F28"/>
    <hyperlink r:id="rId24" ref="F29"/>
    <hyperlink r:id="rId25" ref="F30"/>
    <hyperlink r:id="rId26" ref="F31"/>
    <hyperlink r:id="rId27" ref="F32"/>
    <hyperlink r:id="rId28" ref="F33"/>
    <hyperlink r:id="rId29" ref="F34"/>
    <hyperlink r:id="rId30" ref="F35"/>
    <hyperlink r:id="rId31" ref="F36"/>
    <hyperlink r:id="rId32" ref="F37"/>
    <hyperlink r:id="rId33" ref="F38"/>
    <hyperlink r:id="rId34" ref="F39"/>
    <hyperlink r:id="rId35" ref="F40"/>
    <hyperlink r:id="rId36" ref="F41"/>
    <hyperlink r:id="rId37" ref="F42"/>
    <hyperlink r:id="rId38" ref="F43"/>
    <hyperlink r:id="rId39" ref="F44"/>
    <hyperlink r:id="rId40" ref="F45"/>
    <hyperlink r:id="rId41" ref="F46"/>
    <hyperlink r:id="rId42" ref="F47"/>
    <hyperlink r:id="rId43" ref="F48"/>
    <hyperlink r:id="rId44" ref="F49"/>
  </hyperlinks>
  <drawing r:id="rId45"/>
  <tableParts count="2">
    <tablePart r:id="rId48"/>
    <tablePart r:id="rId49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.75"/>
    <col customWidth="1" min="2" max="2" width="23.88"/>
    <col customWidth="1" min="3" max="3" width="28.38"/>
    <col customWidth="1" min="4" max="4" width="13.63"/>
    <col customWidth="1" min="5" max="5" width="12.0"/>
    <col customWidth="1" min="6" max="6" width="43.0"/>
    <col customWidth="1" min="7" max="7" width="8.13"/>
    <col customWidth="1" min="9" max="9" width="11.63"/>
    <col customWidth="1" min="10" max="10" width="8.88"/>
    <col customWidth="1" min="11" max="11" width="7.0"/>
    <col customWidth="1" min="12" max="12" width="9.25"/>
    <col customWidth="1" min="14" max="14" width="9.75"/>
    <col customWidth="1" min="15" max="15" width="10.0"/>
  </cols>
  <sheetData>
    <row r="1" ht="6.75" customHeight="1">
      <c r="D1" s="71"/>
      <c r="G1" s="114"/>
    </row>
    <row r="2">
      <c r="B2" s="115" t="s">
        <v>152</v>
      </c>
    </row>
    <row r="3">
      <c r="D3" s="71"/>
      <c r="G3" s="114"/>
    </row>
    <row r="4">
      <c r="D4" s="71"/>
      <c r="G4" s="114"/>
      <c r="Q4" s="116" t="s">
        <v>155</v>
      </c>
      <c r="T4" s="116" t="s">
        <v>156</v>
      </c>
      <c r="U4" s="117" t="s">
        <v>157</v>
      </c>
    </row>
    <row r="5" ht="26.25" customHeight="1">
      <c r="B5" s="73" t="s">
        <v>2</v>
      </c>
      <c r="C5" s="73" t="s">
        <v>27</v>
      </c>
      <c r="D5" s="74" t="s">
        <v>28</v>
      </c>
      <c r="E5" s="73" t="s">
        <v>99</v>
      </c>
      <c r="F5" s="73" t="s">
        <v>30</v>
      </c>
      <c r="G5" s="119" t="s">
        <v>31</v>
      </c>
      <c r="I5" s="75" t="s">
        <v>11</v>
      </c>
      <c r="J5" s="76"/>
      <c r="L5" s="77" t="s">
        <v>32</v>
      </c>
      <c r="Q5" s="117" t="s">
        <v>159</v>
      </c>
      <c r="R5" s="122">
        <f>SUM(G6:G36)</f>
        <v>0.5372222222</v>
      </c>
      <c r="T5" s="116" t="s">
        <v>162</v>
      </c>
      <c r="U5" s="116" t="s">
        <v>31</v>
      </c>
    </row>
    <row r="6" ht="26.25" customHeight="1">
      <c r="B6" s="78">
        <v>1.0</v>
      </c>
      <c r="C6" s="78" t="s">
        <v>4</v>
      </c>
      <c r="D6" s="79">
        <v>46216.0</v>
      </c>
      <c r="E6" s="80"/>
      <c r="F6" s="124" t="s">
        <v>164</v>
      </c>
      <c r="G6" s="126">
        <v>0.0211342592592592</v>
      </c>
      <c r="I6" s="82" t="s">
        <v>4</v>
      </c>
      <c r="J6" s="83">
        <f>COUNTIF(C6:C36, "Completed")</f>
        <v>31</v>
      </c>
      <c r="L6" s="84">
        <f>J6/J8</f>
        <v>1</v>
      </c>
      <c r="M6" s="85"/>
      <c r="Q6" s="117" t="s">
        <v>168</v>
      </c>
      <c r="R6" s="64">
        <f>IFERROR(__xludf.DUMMYFUNCTION("COUNTUNIQUE(D6:D36)"),10.0)</f>
        <v>10</v>
      </c>
      <c r="T6" s="127">
        <f>IFERROR(__xludf.DUMMYFUNCTION("SORT(UNIQUE(FILTER(D6:D36, D6:D36&lt;&gt;"""")))"),46216.0)</f>
        <v>46216</v>
      </c>
      <c r="U6" s="122">
        <f t="array" ref="U6:U36">IF(ISBLANK(T6:T36),, SUMIFS(G6:G36, D6:D36, T6:T36))</f>
        <v>0.02113425926</v>
      </c>
    </row>
    <row r="7" ht="26.25" customHeight="1">
      <c r="B7" s="78">
        <v>2.0</v>
      </c>
      <c r="C7" s="78" t="s">
        <v>4</v>
      </c>
      <c r="D7" s="79">
        <v>46217.0</v>
      </c>
      <c r="E7" s="80"/>
      <c r="F7" s="124" t="s">
        <v>176</v>
      </c>
      <c r="G7" s="126">
        <v>0.0211342592592592</v>
      </c>
      <c r="I7" s="86" t="s">
        <v>36</v>
      </c>
      <c r="J7" s="87">
        <f>COUNTIF(C6:C36, "Pending")</f>
        <v>0</v>
      </c>
      <c r="L7" s="88">
        <f>J7/J8</f>
        <v>0</v>
      </c>
      <c r="M7" s="89"/>
      <c r="N7" s="90" t="s">
        <v>34</v>
      </c>
      <c r="O7" s="90" t="s">
        <v>35</v>
      </c>
      <c r="Q7" s="117" t="s">
        <v>179</v>
      </c>
      <c r="R7" s="122">
        <f>IFERROR(R5/R6, 0)</f>
        <v>0.05372222222</v>
      </c>
      <c r="T7" s="127">
        <f>IFERROR(__xludf.DUMMYFUNCTION("""COMPUTED_VALUE"""),46217.0)</f>
        <v>46217</v>
      </c>
      <c r="U7" s="122">
        <v>0.0211342592592592</v>
      </c>
    </row>
    <row r="8" ht="26.25" customHeight="1">
      <c r="B8" s="78">
        <v>3.0</v>
      </c>
      <c r="C8" s="78" t="s">
        <v>4</v>
      </c>
      <c r="D8" s="79">
        <v>46217.0</v>
      </c>
      <c r="E8" s="80"/>
      <c r="F8" s="124" t="s">
        <v>181</v>
      </c>
      <c r="G8" s="126">
        <v>0.0204861111111111</v>
      </c>
      <c r="I8" s="82" t="s">
        <v>49</v>
      </c>
      <c r="J8" s="83">
        <f>COUNTA(B6:B36)</f>
        <v>31</v>
      </c>
      <c r="N8" s="91">
        <v>46204.0</v>
      </c>
      <c r="O8" s="92">
        <f t="shared" ref="O8:O13" si="1">COUNTIFS($D$6:$D$36, "&gt;="&amp;N8, $D$6:$D$36, "&lt;="&amp;EOMONTH(N8, 0), $C$6:$C$36, "Completed")</f>
        <v>23</v>
      </c>
      <c r="T8" s="127">
        <f>IFERROR(__xludf.DUMMYFUNCTION("""COMPUTED_VALUE"""),46218.0)</f>
        <v>46218</v>
      </c>
      <c r="U8" s="122">
        <v>0.0211342592592592</v>
      </c>
    </row>
    <row r="9" ht="26.25" customHeight="1">
      <c r="B9" s="78">
        <v>4.0</v>
      </c>
      <c r="C9" s="78" t="s">
        <v>4</v>
      </c>
      <c r="D9" s="79">
        <v>46218.0</v>
      </c>
      <c r="E9" s="80"/>
      <c r="F9" s="124" t="s">
        <v>186</v>
      </c>
      <c r="G9" s="126">
        <v>0.0189236111111111</v>
      </c>
      <c r="I9" s="86" t="s">
        <v>53</v>
      </c>
      <c r="J9" s="128">
        <f>SUM(G6:G36)</f>
        <v>0.5372222222</v>
      </c>
      <c r="N9" s="91">
        <v>46235.0</v>
      </c>
      <c r="O9" s="92">
        <f t="shared" si="1"/>
        <v>8</v>
      </c>
      <c r="Q9" s="116" t="s">
        <v>189</v>
      </c>
      <c r="R9" s="116" t="s">
        <v>159</v>
      </c>
      <c r="T9" s="127">
        <f>IFERROR(__xludf.DUMMYFUNCTION("""COMPUTED_VALUE"""),46220.0)</f>
        <v>46220</v>
      </c>
      <c r="U9" s="122">
        <v>0.0211342592592592</v>
      </c>
    </row>
    <row r="10" ht="26.25" customHeight="1">
      <c r="B10" s="78">
        <v>5.0</v>
      </c>
      <c r="C10" s="78" t="s">
        <v>4</v>
      </c>
      <c r="D10" s="79">
        <v>46218.0</v>
      </c>
      <c r="E10" s="80"/>
      <c r="F10" s="124" t="s">
        <v>191</v>
      </c>
      <c r="G10" s="126">
        <v>0.021099537037037</v>
      </c>
      <c r="I10" s="82" t="s">
        <v>58</v>
      </c>
      <c r="J10" s="83">
        <f>SUMIF(C6:C36, "Pending", G6:G36)</f>
        <v>0</v>
      </c>
      <c r="N10" s="91">
        <v>46266.0</v>
      </c>
      <c r="O10" s="92">
        <f t="shared" si="1"/>
        <v>0</v>
      </c>
      <c r="Q10" s="129">
        <f t="array" ref="Q10:Q11">SORT(UNIQUE(IF(ISBLANK(D6:D36),, EOMONTH(D6:D36, -1)+1)))</f>
        <v>46204</v>
      </c>
      <c r="R10" s="122">
        <f t="array" ref="R10:R36">IF(ISBLANK(Q10:Q36),, SUMIFS(G6:G36, D6:D36, "&gt;="&amp;Q10:Q36, D6:D36, "&lt;="&amp;EOMONTH(Q10:Q36, 0)))</f>
        <v>0.4443171296</v>
      </c>
      <c r="T10" s="127">
        <f>IFERROR(__xludf.DUMMYFUNCTION("""COMPUTED_VALUE"""),46221.0)</f>
        <v>46221</v>
      </c>
      <c r="U10" s="122">
        <v>0.0211342592592592</v>
      </c>
    </row>
    <row r="11" ht="26.25" customHeight="1">
      <c r="B11" s="78">
        <v>6.0</v>
      </c>
      <c r="C11" s="78" t="s">
        <v>4</v>
      </c>
      <c r="D11" s="79">
        <v>46218.0</v>
      </c>
      <c r="E11" s="80"/>
      <c r="F11" s="124" t="s">
        <v>200</v>
      </c>
      <c r="G11" s="126">
        <v>0.0211458333333333</v>
      </c>
      <c r="I11" s="86" t="s">
        <v>7</v>
      </c>
      <c r="J11" s="93">
        <f>MIN(D6:D36)</f>
        <v>46216</v>
      </c>
      <c r="N11" s="91">
        <v>46296.0</v>
      </c>
      <c r="O11" s="92">
        <f t="shared" si="1"/>
        <v>0</v>
      </c>
      <c r="Q11" s="129">
        <v>46235.0</v>
      </c>
      <c r="R11" s="122">
        <v>0.4443171296296288</v>
      </c>
      <c r="T11" s="127">
        <f>IFERROR(__xludf.DUMMYFUNCTION("""COMPUTED_VALUE"""),46228.0)</f>
        <v>46228</v>
      </c>
      <c r="U11" s="122">
        <v>0.0211342592592592</v>
      </c>
    </row>
    <row r="12" ht="26.25" customHeight="1">
      <c r="B12" s="78">
        <v>7.0</v>
      </c>
      <c r="C12" s="78" t="s">
        <v>4</v>
      </c>
      <c r="D12" s="79">
        <v>46218.0</v>
      </c>
      <c r="E12" s="80"/>
      <c r="F12" s="124" t="s">
        <v>205</v>
      </c>
      <c r="G12" s="126">
        <v>0.0173032407407407</v>
      </c>
      <c r="I12" s="82" t="s">
        <v>67</v>
      </c>
      <c r="J12" s="94">
        <f>MAX(D6:D36)</f>
        <v>46246</v>
      </c>
      <c r="N12" s="91">
        <v>46327.0</v>
      </c>
      <c r="O12" s="92">
        <f t="shared" si="1"/>
        <v>0</v>
      </c>
      <c r="Q12" s="129"/>
      <c r="R12" s="122"/>
      <c r="T12" s="127">
        <f>IFERROR(__xludf.DUMMYFUNCTION("""COMPUTED_VALUE"""),46229.0)</f>
        <v>46229</v>
      </c>
      <c r="U12" s="122">
        <v>0.0211342592592592</v>
      </c>
    </row>
    <row r="13" ht="26.25" customHeight="1">
      <c r="B13" s="78">
        <v>8.0</v>
      </c>
      <c r="C13" s="78" t="s">
        <v>4</v>
      </c>
      <c r="D13" s="79">
        <v>46220.0</v>
      </c>
      <c r="E13" s="80"/>
      <c r="F13" s="124" t="s">
        <v>208</v>
      </c>
      <c r="G13" s="126">
        <v>0.020949074074074</v>
      </c>
      <c r="N13" s="91">
        <v>46357.0</v>
      </c>
      <c r="O13" s="92">
        <f t="shared" si="1"/>
        <v>0</v>
      </c>
      <c r="Q13" s="129"/>
      <c r="R13" s="122"/>
      <c r="T13" s="127">
        <f>IFERROR(__xludf.DUMMYFUNCTION("""COMPUTED_VALUE"""),46231.0)</f>
        <v>46231</v>
      </c>
      <c r="U13" s="122">
        <v>0.0211342592592592</v>
      </c>
    </row>
    <row r="14" ht="26.25" customHeight="1">
      <c r="B14" s="78">
        <v>9.0</v>
      </c>
      <c r="C14" s="78" t="s">
        <v>4</v>
      </c>
      <c r="D14" s="79">
        <v>46220.0</v>
      </c>
      <c r="E14" s="80"/>
      <c r="F14" s="124" t="s">
        <v>211</v>
      </c>
      <c r="G14" s="126">
        <v>0.0209722222222222</v>
      </c>
      <c r="Q14" s="129"/>
      <c r="R14" s="122"/>
      <c r="T14" s="127">
        <f>IFERROR(__xludf.DUMMYFUNCTION("""COMPUTED_VALUE"""),46244.0)</f>
        <v>46244</v>
      </c>
      <c r="U14" s="122">
        <v>0.0211342592592592</v>
      </c>
    </row>
    <row r="15" ht="26.25" customHeight="1">
      <c r="B15" s="78">
        <v>10.0</v>
      </c>
      <c r="C15" s="78" t="s">
        <v>4</v>
      </c>
      <c r="D15" s="79">
        <v>46220.0</v>
      </c>
      <c r="E15" s="80"/>
      <c r="F15" s="124" t="s">
        <v>214</v>
      </c>
      <c r="G15" s="126">
        <v>0.0209027777777777</v>
      </c>
      <c r="Q15" s="129"/>
      <c r="R15" s="122"/>
      <c r="T15" s="127">
        <f>IFERROR(__xludf.DUMMYFUNCTION("""COMPUTED_VALUE"""),46246.0)</f>
        <v>46246</v>
      </c>
      <c r="U15" s="122">
        <v>0.0211342592592592</v>
      </c>
    </row>
    <row r="16" ht="26.25" customHeight="1">
      <c r="B16" s="78">
        <v>11.0</v>
      </c>
      <c r="C16" s="78" t="s">
        <v>4</v>
      </c>
      <c r="D16" s="79">
        <v>46220.0</v>
      </c>
      <c r="E16" s="80"/>
      <c r="F16" s="124" t="s">
        <v>216</v>
      </c>
      <c r="G16" s="126">
        <v>0.0153356481481481</v>
      </c>
      <c r="I16" s="90" t="s">
        <v>73</v>
      </c>
      <c r="J16" s="90" t="s">
        <v>4</v>
      </c>
      <c r="K16" s="90" t="s">
        <v>36</v>
      </c>
      <c r="Q16" s="129"/>
      <c r="R16" s="122"/>
      <c r="T16" s="127"/>
      <c r="U16" s="122"/>
    </row>
    <row r="17" ht="26.25" customHeight="1">
      <c r="B17" s="78">
        <v>12.0</v>
      </c>
      <c r="C17" s="78" t="s">
        <v>4</v>
      </c>
      <c r="D17" s="79">
        <v>46221.0</v>
      </c>
      <c r="E17" s="80"/>
      <c r="F17" s="124" t="s">
        <v>219</v>
      </c>
      <c r="G17" s="126">
        <v>0.0209953703703703</v>
      </c>
      <c r="I17" s="97" t="s">
        <v>75</v>
      </c>
      <c r="J17" s="92">
        <f>J6</f>
        <v>31</v>
      </c>
      <c r="K17" s="92">
        <f>J7</f>
        <v>0</v>
      </c>
      <c r="Q17" s="129"/>
      <c r="R17" s="122"/>
      <c r="T17" s="127"/>
      <c r="U17" s="122"/>
    </row>
    <row r="18" ht="26.25" customHeight="1">
      <c r="B18" s="78">
        <v>13.0</v>
      </c>
      <c r="C18" s="78" t="s">
        <v>4</v>
      </c>
      <c r="D18" s="79">
        <v>46221.0</v>
      </c>
      <c r="E18" s="80"/>
      <c r="F18" s="130" t="s">
        <v>223</v>
      </c>
      <c r="G18" s="126">
        <v>0.0208680555555555</v>
      </c>
      <c r="Q18" s="129"/>
      <c r="R18" s="122"/>
      <c r="T18" s="127"/>
      <c r="U18" s="122"/>
    </row>
    <row r="19" ht="26.25" customHeight="1">
      <c r="B19" s="78">
        <v>14.0</v>
      </c>
      <c r="C19" s="78" t="s">
        <v>4</v>
      </c>
      <c r="D19" s="79">
        <v>46221.0</v>
      </c>
      <c r="E19" s="80"/>
      <c r="F19" s="124" t="s">
        <v>226</v>
      </c>
      <c r="G19" s="126">
        <v>0.0208796296296296</v>
      </c>
      <c r="Q19" s="129"/>
      <c r="R19" s="122"/>
      <c r="T19" s="127"/>
      <c r="U19" s="122"/>
    </row>
    <row r="20" ht="26.25" customHeight="1">
      <c r="B20" s="78">
        <v>15.0</v>
      </c>
      <c r="C20" s="78" t="s">
        <v>4</v>
      </c>
      <c r="D20" s="79">
        <v>46221.0</v>
      </c>
      <c r="E20" s="80"/>
      <c r="F20" s="124" t="s">
        <v>230</v>
      </c>
      <c r="G20" s="126">
        <v>0.0115162037037037</v>
      </c>
      <c r="Q20" s="129"/>
      <c r="R20" s="122"/>
      <c r="T20" s="127"/>
      <c r="U20" s="122"/>
    </row>
    <row r="21" ht="26.25" customHeight="1">
      <c r="B21" s="78">
        <v>16.0</v>
      </c>
      <c r="C21" s="78" t="s">
        <v>4</v>
      </c>
      <c r="D21" s="79">
        <v>46228.0</v>
      </c>
      <c r="E21" s="80"/>
      <c r="F21" s="124" t="s">
        <v>233</v>
      </c>
      <c r="G21" s="126">
        <v>0.0211111111111111</v>
      </c>
      <c r="R21" s="64"/>
      <c r="T21" s="127"/>
      <c r="U21" s="122"/>
    </row>
    <row r="22" ht="26.25" customHeight="1">
      <c r="B22" s="78">
        <v>17.0</v>
      </c>
      <c r="C22" s="78" t="s">
        <v>4</v>
      </c>
      <c r="D22" s="79">
        <v>46228.0</v>
      </c>
      <c r="E22" s="80"/>
      <c r="F22" s="124" t="s">
        <v>237</v>
      </c>
      <c r="G22" s="126">
        <v>0.0210648148148148</v>
      </c>
      <c r="R22" s="64"/>
      <c r="T22" s="127"/>
      <c r="U22" s="122"/>
    </row>
    <row r="23" ht="26.25" customHeight="1">
      <c r="B23" s="78">
        <v>18.0</v>
      </c>
      <c r="C23" s="78" t="s">
        <v>4</v>
      </c>
      <c r="D23" s="79">
        <v>46228.0</v>
      </c>
      <c r="E23" s="80"/>
      <c r="F23" s="124" t="s">
        <v>240</v>
      </c>
      <c r="G23" s="126">
        <v>0.0210416666666666</v>
      </c>
      <c r="R23" s="64"/>
      <c r="T23" s="127"/>
      <c r="U23" s="122"/>
    </row>
    <row r="24" ht="26.25" customHeight="1">
      <c r="B24" s="78">
        <v>19.0</v>
      </c>
      <c r="C24" s="78" t="s">
        <v>4</v>
      </c>
      <c r="D24" s="79">
        <v>46228.0</v>
      </c>
      <c r="E24" s="80"/>
      <c r="F24" s="124" t="s">
        <v>242</v>
      </c>
      <c r="G24" s="126">
        <v>0.0105324074074074</v>
      </c>
      <c r="R24" s="64"/>
      <c r="T24" s="127"/>
      <c r="U24" s="122"/>
    </row>
    <row r="25" ht="26.25" customHeight="1">
      <c r="B25" s="78">
        <v>20.0</v>
      </c>
      <c r="C25" s="78" t="s">
        <v>4</v>
      </c>
      <c r="D25" s="79">
        <v>46229.0</v>
      </c>
      <c r="E25" s="80"/>
      <c r="F25" s="124" t="s">
        <v>245</v>
      </c>
      <c r="G25" s="126">
        <v>0.020787037037037</v>
      </c>
      <c r="R25" s="64"/>
      <c r="T25" s="127"/>
      <c r="U25" s="122"/>
    </row>
    <row r="26" ht="26.25" customHeight="1">
      <c r="B26" s="78">
        <v>21.0</v>
      </c>
      <c r="C26" s="78" t="s">
        <v>4</v>
      </c>
      <c r="D26" s="79">
        <v>46229.0</v>
      </c>
      <c r="E26" s="80"/>
      <c r="F26" s="124" t="s">
        <v>247</v>
      </c>
      <c r="G26" s="126">
        <v>0.0204398148148148</v>
      </c>
      <c r="R26" s="64"/>
      <c r="T26" s="127"/>
      <c r="U26" s="122"/>
    </row>
    <row r="27" ht="26.25" customHeight="1">
      <c r="B27" s="78">
        <v>22.0</v>
      </c>
      <c r="C27" s="78" t="s">
        <v>4</v>
      </c>
      <c r="D27" s="79">
        <v>46231.0</v>
      </c>
      <c r="E27" s="80"/>
      <c r="F27" s="124" t="s">
        <v>250</v>
      </c>
      <c r="G27" s="126">
        <v>0.0206134259259259</v>
      </c>
      <c r="R27" s="64"/>
      <c r="T27" s="127"/>
      <c r="U27" s="122"/>
    </row>
    <row r="28" ht="26.25" customHeight="1">
      <c r="B28" s="78">
        <v>23.0</v>
      </c>
      <c r="C28" s="78" t="s">
        <v>4</v>
      </c>
      <c r="D28" s="79">
        <v>46231.0</v>
      </c>
      <c r="E28" s="80"/>
      <c r="F28" s="124" t="s">
        <v>252</v>
      </c>
      <c r="G28" s="126">
        <v>0.0150810185185185</v>
      </c>
      <c r="R28" s="64"/>
      <c r="T28" s="127"/>
      <c r="U28" s="122"/>
    </row>
    <row r="29" ht="26.25" customHeight="1">
      <c r="B29" s="78">
        <v>24.0</v>
      </c>
      <c r="C29" s="78" t="s">
        <v>4</v>
      </c>
      <c r="D29" s="79">
        <v>46244.0</v>
      </c>
      <c r="E29" s="80"/>
      <c r="F29" s="124" t="s">
        <v>254</v>
      </c>
      <c r="G29" s="126">
        <v>0.0209375</v>
      </c>
      <c r="R29" s="64"/>
      <c r="T29" s="127"/>
      <c r="U29" s="122"/>
    </row>
    <row r="30" ht="26.25" customHeight="1">
      <c r="B30" s="78">
        <v>25.0</v>
      </c>
      <c r="C30" s="78" t="s">
        <v>4</v>
      </c>
      <c r="D30" s="79">
        <v>46244.0</v>
      </c>
      <c r="E30" s="80"/>
      <c r="F30" s="124" t="s">
        <v>257</v>
      </c>
      <c r="G30" s="126">
        <v>0.0207638888888888</v>
      </c>
      <c r="R30" s="64"/>
      <c r="T30" s="127"/>
      <c r="U30" s="122"/>
    </row>
    <row r="31" ht="26.25" customHeight="1">
      <c r="B31" s="78">
        <v>26.0</v>
      </c>
      <c r="C31" s="78" t="s">
        <v>4</v>
      </c>
      <c r="D31" s="79">
        <v>46244.0</v>
      </c>
      <c r="E31" s="80"/>
      <c r="F31" s="124" t="s">
        <v>259</v>
      </c>
      <c r="G31" s="126">
        <v>0.0206828703703703</v>
      </c>
      <c r="R31" s="64"/>
      <c r="T31" s="127"/>
      <c r="U31" s="122"/>
    </row>
    <row r="32" ht="26.25" customHeight="1">
      <c r="B32" s="78">
        <v>27.0</v>
      </c>
      <c r="C32" s="78" t="s">
        <v>4</v>
      </c>
      <c r="D32" s="79">
        <v>46246.0</v>
      </c>
      <c r="E32" s="80"/>
      <c r="F32" s="124" t="s">
        <v>262</v>
      </c>
      <c r="G32" s="126">
        <v>0.020636574074074</v>
      </c>
      <c r="R32" s="64"/>
      <c r="T32" s="127"/>
      <c r="U32" s="122"/>
    </row>
    <row r="33" ht="26.25" customHeight="1">
      <c r="B33" s="78">
        <v>28.0</v>
      </c>
      <c r="C33" s="78" t="s">
        <v>4</v>
      </c>
      <c r="D33" s="79">
        <v>46246.0</v>
      </c>
      <c r="E33" s="80"/>
      <c r="F33" s="124" t="s">
        <v>265</v>
      </c>
      <c r="G33" s="126">
        <v>0.00158564814814814</v>
      </c>
      <c r="R33" s="64"/>
      <c r="T33" s="127"/>
      <c r="U33" s="122"/>
    </row>
    <row r="34" ht="26.25" customHeight="1">
      <c r="B34" s="78">
        <v>29.0</v>
      </c>
      <c r="C34" s="78" t="s">
        <v>4</v>
      </c>
      <c r="D34" s="79">
        <v>46246.0</v>
      </c>
      <c r="E34" s="80"/>
      <c r="F34" s="130" t="s">
        <v>267</v>
      </c>
      <c r="G34" s="126">
        <v>0.00108796296296296</v>
      </c>
      <c r="R34" s="64"/>
      <c r="T34" s="127"/>
      <c r="U34" s="122"/>
    </row>
    <row r="35" ht="26.25" customHeight="1">
      <c r="B35" s="78">
        <v>30.0</v>
      </c>
      <c r="C35" s="78" t="s">
        <v>4</v>
      </c>
      <c r="D35" s="79">
        <v>46246.0</v>
      </c>
      <c r="E35" s="80"/>
      <c r="F35" s="130" t="s">
        <v>269</v>
      </c>
      <c r="G35" s="126">
        <v>0.00563657407407407</v>
      </c>
      <c r="R35" s="64"/>
      <c r="T35" s="127"/>
      <c r="U35" s="122"/>
    </row>
    <row r="36" ht="26.25" customHeight="1">
      <c r="B36" s="78">
        <v>31.0</v>
      </c>
      <c r="C36" s="78" t="s">
        <v>4</v>
      </c>
      <c r="D36" s="79">
        <v>46246.0</v>
      </c>
      <c r="E36" s="80"/>
      <c r="F36" s="130" t="s">
        <v>271</v>
      </c>
      <c r="G36" s="126">
        <v>0.00157407407407407</v>
      </c>
      <c r="R36" s="64"/>
      <c r="T36" s="127"/>
      <c r="U36" s="122"/>
    </row>
  </sheetData>
  <mergeCells count="3">
    <mergeCell ref="B2:H2"/>
    <mergeCell ref="I5:J5"/>
    <mergeCell ref="L5:M5"/>
  </mergeCells>
  <dataValidations>
    <dataValidation type="custom" allowBlank="1" sqref="D6:D36">
      <formula1>OR(NOT(ISERROR(DATEVALUE(D6))), AND(ISNUMBER(D6), LEFT(CELL("format", D6))="D"))</formula1>
    </dataValidation>
    <dataValidation type="list" allowBlank="1" sqref="C6:C36">
      <formula1>"Completed,Pending"</formula1>
    </dataValidation>
  </dataValidations>
  <hyperlinks>
    <hyperlink r:id="rId1" ref="F6"/>
    <hyperlink r:id="rId2" ref="F7"/>
    <hyperlink r:id="rId3" ref="F8"/>
    <hyperlink r:id="rId4" ref="F9"/>
    <hyperlink r:id="rId5" ref="F10"/>
    <hyperlink r:id="rId6" ref="F11"/>
    <hyperlink r:id="rId7" ref="F12"/>
    <hyperlink r:id="rId8" ref="F13"/>
    <hyperlink r:id="rId9" ref="F14"/>
    <hyperlink r:id="rId10" ref="F15"/>
    <hyperlink r:id="rId11" ref="F16"/>
    <hyperlink r:id="rId12" ref="F17"/>
    <hyperlink r:id="rId13" ref="F18"/>
    <hyperlink r:id="rId14" ref="F19"/>
    <hyperlink r:id="rId15" ref="F20"/>
    <hyperlink r:id="rId16" ref="F21"/>
    <hyperlink r:id="rId17" ref="F22"/>
    <hyperlink r:id="rId18" ref="F23"/>
    <hyperlink r:id="rId19" ref="F24"/>
    <hyperlink r:id="rId20" ref="F25"/>
    <hyperlink r:id="rId21" ref="F26"/>
    <hyperlink r:id="rId22" ref="F27"/>
    <hyperlink r:id="rId23" ref="F28"/>
    <hyperlink r:id="rId24" ref="F29"/>
    <hyperlink r:id="rId25" ref="F30"/>
    <hyperlink r:id="rId26" ref="F31"/>
    <hyperlink r:id="rId27" ref="F32"/>
    <hyperlink r:id="rId28" ref="F33"/>
    <hyperlink r:id="rId29" ref="F34"/>
    <hyperlink r:id="rId30" ref="F35"/>
    <hyperlink r:id="rId31" ref="F36"/>
  </hyperlinks>
  <drawing r:id="rId32"/>
  <tableParts count="3">
    <tablePart r:id="rId36"/>
    <tablePart r:id="rId37"/>
    <tablePart r:id="rId38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.75"/>
    <col customWidth="1" min="4" max="4" width="18.75"/>
    <col customWidth="1" min="6" max="6" width="39.5"/>
    <col customWidth="1" min="12" max="12" width="7.88"/>
    <col customWidth="1" min="14" max="14" width="18.38"/>
    <col customWidth="1" min="15" max="15" width="21.75"/>
  </cols>
  <sheetData>
    <row r="1" ht="6.75" customHeight="1"/>
    <row r="2">
      <c r="B2" s="142" t="s">
        <v>304</v>
      </c>
    </row>
    <row r="5">
      <c r="B5" s="143" t="s">
        <v>2</v>
      </c>
      <c r="C5" s="143" t="s">
        <v>27</v>
      </c>
      <c r="D5" s="143" t="s">
        <v>28</v>
      </c>
      <c r="E5" s="143" t="s">
        <v>99</v>
      </c>
      <c r="F5" s="143" t="s">
        <v>30</v>
      </c>
      <c r="G5" s="143" t="s">
        <v>31</v>
      </c>
      <c r="I5" s="144" t="s">
        <v>11</v>
      </c>
      <c r="J5" s="145"/>
      <c r="L5" s="146" t="s">
        <v>32</v>
      </c>
      <c r="M5" s="147"/>
    </row>
    <row r="6" ht="26.25" customHeight="1">
      <c r="B6" s="148">
        <v>1.0</v>
      </c>
      <c r="C6" s="148" t="s">
        <v>4</v>
      </c>
      <c r="D6" s="149">
        <v>45909.0</v>
      </c>
      <c r="E6" s="150"/>
      <c r="F6" s="151" t="s">
        <v>308</v>
      </c>
      <c r="G6" s="150"/>
      <c r="I6" s="97" t="s">
        <v>4</v>
      </c>
      <c r="J6" s="92">
        <f>COUNTIF(C6:C49, "Completed")</f>
        <v>44</v>
      </c>
      <c r="L6" s="152">
        <f>IFERROR(J6/J8, 0)</f>
        <v>1</v>
      </c>
      <c r="M6" s="153"/>
    </row>
    <row r="7" ht="26.25" customHeight="1">
      <c r="B7" s="148">
        <v>2.0</v>
      </c>
      <c r="C7" s="148" t="s">
        <v>4</v>
      </c>
      <c r="D7" s="149">
        <v>45910.0</v>
      </c>
      <c r="E7" s="150"/>
      <c r="F7" s="151" t="s">
        <v>312</v>
      </c>
      <c r="G7" s="150"/>
      <c r="I7" s="97" t="s">
        <v>36</v>
      </c>
      <c r="J7" s="92">
        <f>COUNTIF(C6:C49, "Pending")</f>
        <v>0</v>
      </c>
      <c r="L7" s="154">
        <f>IFERROR(J7/J8, 0)</f>
        <v>0</v>
      </c>
      <c r="M7" s="155"/>
      <c r="N7" s="144" t="s">
        <v>314</v>
      </c>
      <c r="O7" s="144" t="s">
        <v>35</v>
      </c>
    </row>
    <row r="8" ht="26.25" customHeight="1">
      <c r="B8" s="148">
        <v>3.0</v>
      </c>
      <c r="C8" s="148" t="s">
        <v>4</v>
      </c>
      <c r="D8" s="149">
        <v>45911.0</v>
      </c>
      <c r="E8" s="150"/>
      <c r="F8" s="151" t="s">
        <v>316</v>
      </c>
      <c r="G8" s="150"/>
      <c r="I8" s="97" t="s">
        <v>49</v>
      </c>
      <c r="J8" s="92">
        <f>COUNTA(B6:B49)</f>
        <v>44</v>
      </c>
      <c r="N8" s="156" t="s">
        <v>318</v>
      </c>
      <c r="O8" s="92">
        <f t="shared" ref="O8:O16" si="1">COUNTIFS($D$6:$D$49, "&gt;="&amp;N8, $D$6:$D$49, "&lt;"&amp;N8+7, $C$6:$C$49, "Completed")</f>
        <v>0</v>
      </c>
    </row>
    <row r="9" ht="26.25" customHeight="1">
      <c r="B9" s="148">
        <v>4.0</v>
      </c>
      <c r="C9" s="148" t="s">
        <v>4</v>
      </c>
      <c r="D9" s="149">
        <v>45911.0</v>
      </c>
      <c r="E9" s="150"/>
      <c r="F9" s="151" t="s">
        <v>320</v>
      </c>
      <c r="G9" s="150"/>
      <c r="I9" s="97" t="s">
        <v>53</v>
      </c>
      <c r="J9" s="92">
        <f>SUM(G6:G49)</f>
        <v>0</v>
      </c>
      <c r="N9" s="157" t="s">
        <v>321</v>
      </c>
      <c r="O9" s="92">
        <f t="shared" si="1"/>
        <v>9</v>
      </c>
    </row>
    <row r="10" ht="26.25" customHeight="1">
      <c r="B10" s="148">
        <v>5.0</v>
      </c>
      <c r="C10" s="148" t="s">
        <v>4</v>
      </c>
      <c r="D10" s="149">
        <v>45912.0</v>
      </c>
      <c r="E10" s="150"/>
      <c r="F10" s="151" t="s">
        <v>322</v>
      </c>
      <c r="G10" s="150"/>
      <c r="I10" s="97" t="s">
        <v>58</v>
      </c>
      <c r="J10" s="92">
        <f>SUMIFS(G6:G49, C6:C49, "Pending")</f>
        <v>0</v>
      </c>
      <c r="N10" s="157" t="s">
        <v>323</v>
      </c>
      <c r="O10" s="92">
        <f t="shared" si="1"/>
        <v>13</v>
      </c>
    </row>
    <row r="11" ht="26.25" customHeight="1">
      <c r="B11" s="148">
        <v>6.0</v>
      </c>
      <c r="C11" s="148" t="s">
        <v>4</v>
      </c>
      <c r="D11" s="149">
        <v>45912.0</v>
      </c>
      <c r="E11" s="150"/>
      <c r="F11" s="151" t="s">
        <v>324</v>
      </c>
      <c r="G11" s="150"/>
      <c r="I11" s="97" t="s">
        <v>7</v>
      </c>
      <c r="J11" s="158">
        <f>MIN(D6:D49)</f>
        <v>45909</v>
      </c>
      <c r="N11" s="157" t="s">
        <v>325</v>
      </c>
      <c r="O11" s="92">
        <f t="shared" si="1"/>
        <v>12</v>
      </c>
    </row>
    <row r="12" ht="26.25" customHeight="1">
      <c r="B12" s="148">
        <v>7.0</v>
      </c>
      <c r="C12" s="148" t="s">
        <v>4</v>
      </c>
      <c r="D12" s="149">
        <v>45913.0</v>
      </c>
      <c r="E12" s="150"/>
      <c r="F12" s="151" t="s">
        <v>326</v>
      </c>
      <c r="G12" s="150"/>
      <c r="I12" s="97" t="s">
        <v>67</v>
      </c>
      <c r="J12" s="158"/>
      <c r="N12" s="157" t="s">
        <v>328</v>
      </c>
      <c r="O12" s="92">
        <f t="shared" si="1"/>
        <v>10</v>
      </c>
    </row>
    <row r="13" ht="26.25" customHeight="1">
      <c r="B13" s="148">
        <v>8.0</v>
      </c>
      <c r="C13" s="148" t="s">
        <v>4</v>
      </c>
      <c r="D13" s="149">
        <v>45914.0</v>
      </c>
      <c r="E13" s="150"/>
      <c r="F13" s="151" t="s">
        <v>329</v>
      </c>
      <c r="G13" s="150"/>
      <c r="N13" s="157" t="s">
        <v>331</v>
      </c>
      <c r="O13" s="92">
        <f t="shared" si="1"/>
        <v>0</v>
      </c>
    </row>
    <row r="14" ht="26.25" customHeight="1">
      <c r="B14" s="148">
        <v>9.0</v>
      </c>
      <c r="C14" s="148" t="s">
        <v>4</v>
      </c>
      <c r="D14" s="149">
        <v>45914.0</v>
      </c>
      <c r="E14" s="150"/>
      <c r="F14" s="151" t="s">
        <v>332</v>
      </c>
      <c r="G14" s="150"/>
      <c r="N14" s="163" t="s">
        <v>333</v>
      </c>
      <c r="O14" s="38">
        <f t="shared" si="1"/>
        <v>0</v>
      </c>
    </row>
    <row r="15" ht="26.25" customHeight="1">
      <c r="B15" s="148">
        <v>10.0</v>
      </c>
      <c r="C15" s="148" t="s">
        <v>4</v>
      </c>
      <c r="D15" s="149">
        <v>45915.0</v>
      </c>
      <c r="E15" s="150"/>
      <c r="F15" s="151" t="s">
        <v>334</v>
      </c>
      <c r="G15" s="150"/>
      <c r="N15" s="163" t="s">
        <v>335</v>
      </c>
      <c r="O15" s="38">
        <f t="shared" si="1"/>
        <v>0</v>
      </c>
    </row>
    <row r="16" ht="26.25" customHeight="1">
      <c r="B16" s="148">
        <v>11.0</v>
      </c>
      <c r="C16" s="148" t="s">
        <v>4</v>
      </c>
      <c r="D16" s="149">
        <v>45915.0</v>
      </c>
      <c r="E16" s="150"/>
      <c r="F16" s="151" t="s">
        <v>336</v>
      </c>
      <c r="G16" s="150"/>
      <c r="I16" s="144" t="s">
        <v>73</v>
      </c>
      <c r="J16" s="144" t="s">
        <v>4</v>
      </c>
      <c r="K16" s="144" t="s">
        <v>36</v>
      </c>
      <c r="N16" s="163" t="s">
        <v>337</v>
      </c>
      <c r="O16" s="38">
        <f t="shared" si="1"/>
        <v>0</v>
      </c>
    </row>
    <row r="17" ht="26.25" customHeight="1">
      <c r="B17" s="148">
        <v>12.0</v>
      </c>
      <c r="C17" s="148" t="s">
        <v>4</v>
      </c>
      <c r="D17" s="149">
        <v>45916.0</v>
      </c>
      <c r="E17" s="150"/>
      <c r="F17" s="151" t="s">
        <v>338</v>
      </c>
      <c r="G17" s="150"/>
      <c r="I17" s="97" t="s">
        <v>75</v>
      </c>
      <c r="J17" s="92">
        <f>J6</f>
        <v>44</v>
      </c>
      <c r="K17" s="92">
        <f>J7</f>
        <v>0</v>
      </c>
    </row>
    <row r="18" ht="26.25" customHeight="1">
      <c r="B18" s="148">
        <v>13.0</v>
      </c>
      <c r="C18" s="148" t="s">
        <v>4</v>
      </c>
      <c r="D18" s="149">
        <v>45916.0</v>
      </c>
      <c r="E18" s="150"/>
      <c r="F18" s="151" t="s">
        <v>340</v>
      </c>
      <c r="G18" s="150"/>
    </row>
    <row r="19" ht="26.25" customHeight="1">
      <c r="B19" s="148">
        <v>14.0</v>
      </c>
      <c r="C19" s="148" t="s">
        <v>4</v>
      </c>
      <c r="D19" s="149">
        <v>45917.0</v>
      </c>
      <c r="E19" s="150"/>
      <c r="F19" s="151" t="s">
        <v>341</v>
      </c>
      <c r="G19" s="150"/>
    </row>
    <row r="20" ht="26.25" customHeight="1">
      <c r="B20" s="148">
        <v>15.0</v>
      </c>
      <c r="C20" s="148" t="s">
        <v>4</v>
      </c>
      <c r="D20" s="149">
        <v>45917.0</v>
      </c>
      <c r="E20" s="150"/>
      <c r="F20" s="151" t="s">
        <v>342</v>
      </c>
      <c r="G20" s="150"/>
    </row>
    <row r="21" ht="26.25" customHeight="1">
      <c r="B21" s="148">
        <v>16.0</v>
      </c>
      <c r="C21" s="148" t="s">
        <v>4</v>
      </c>
      <c r="D21" s="149">
        <v>45918.0</v>
      </c>
      <c r="E21" s="150"/>
      <c r="F21" s="151" t="s">
        <v>343</v>
      </c>
      <c r="G21" s="150"/>
    </row>
    <row r="22" ht="26.25" customHeight="1">
      <c r="B22" s="148">
        <v>17.0</v>
      </c>
      <c r="C22" s="148" t="s">
        <v>4</v>
      </c>
      <c r="D22" s="149">
        <v>45918.0</v>
      </c>
      <c r="E22" s="150"/>
      <c r="F22" s="151" t="s">
        <v>344</v>
      </c>
      <c r="G22" s="150"/>
    </row>
    <row r="23" ht="26.25" customHeight="1">
      <c r="B23" s="148">
        <v>18.0</v>
      </c>
      <c r="C23" s="148" t="s">
        <v>4</v>
      </c>
      <c r="D23" s="149">
        <v>45919.0</v>
      </c>
      <c r="E23" s="150"/>
      <c r="F23" s="151" t="s">
        <v>345</v>
      </c>
      <c r="G23" s="150"/>
    </row>
    <row r="24" ht="26.25" customHeight="1">
      <c r="B24" s="148">
        <v>19.0</v>
      </c>
      <c r="C24" s="148" t="s">
        <v>4</v>
      </c>
      <c r="D24" s="149">
        <v>45919.0</v>
      </c>
      <c r="E24" s="150"/>
      <c r="F24" s="151" t="s">
        <v>347</v>
      </c>
      <c r="G24" s="150"/>
    </row>
    <row r="25" ht="26.25" customHeight="1">
      <c r="B25" s="148">
        <v>20.0</v>
      </c>
      <c r="C25" s="148" t="s">
        <v>4</v>
      </c>
      <c r="D25" s="149">
        <v>45920.0</v>
      </c>
      <c r="E25" s="150"/>
      <c r="F25" s="151" t="s">
        <v>348</v>
      </c>
      <c r="G25" s="150"/>
    </row>
    <row r="26" ht="26.25" customHeight="1">
      <c r="B26" s="148">
        <v>21.0</v>
      </c>
      <c r="C26" s="148" t="s">
        <v>4</v>
      </c>
      <c r="D26" s="149">
        <v>45920.0</v>
      </c>
      <c r="E26" s="150"/>
      <c r="F26" s="151" t="s">
        <v>349</v>
      </c>
      <c r="G26" s="150"/>
    </row>
    <row r="27" ht="26.25" customHeight="1">
      <c r="B27" s="148">
        <v>22.0</v>
      </c>
      <c r="C27" s="148" t="s">
        <v>4</v>
      </c>
      <c r="D27" s="149">
        <v>45921.0</v>
      </c>
      <c r="E27" s="150"/>
      <c r="F27" s="151" t="s">
        <v>350</v>
      </c>
      <c r="G27" s="150"/>
    </row>
    <row r="28" ht="26.25" customHeight="1">
      <c r="B28" s="148">
        <v>23.0</v>
      </c>
      <c r="C28" s="148" t="s">
        <v>4</v>
      </c>
      <c r="D28" s="149">
        <v>45922.0</v>
      </c>
      <c r="E28" s="150"/>
      <c r="F28" s="151" t="s">
        <v>351</v>
      </c>
      <c r="G28" s="150"/>
    </row>
    <row r="29" ht="26.25" customHeight="1">
      <c r="B29" s="148">
        <v>24.0</v>
      </c>
      <c r="C29" s="148" t="s">
        <v>4</v>
      </c>
      <c r="D29" s="149">
        <v>45922.0</v>
      </c>
      <c r="E29" s="150"/>
      <c r="F29" s="151" t="s">
        <v>354</v>
      </c>
      <c r="G29" s="150"/>
    </row>
    <row r="30" ht="26.25" customHeight="1">
      <c r="B30" s="148">
        <v>25.0</v>
      </c>
      <c r="C30" s="148" t="s">
        <v>4</v>
      </c>
      <c r="D30" s="149">
        <v>45923.0</v>
      </c>
      <c r="E30" s="150"/>
      <c r="F30" s="151" t="s">
        <v>355</v>
      </c>
      <c r="G30" s="150"/>
    </row>
    <row r="31" ht="26.25" customHeight="1">
      <c r="B31" s="148">
        <v>26.0</v>
      </c>
      <c r="C31" s="148" t="s">
        <v>4</v>
      </c>
      <c r="D31" s="149">
        <v>45924.0</v>
      </c>
      <c r="E31" s="150"/>
      <c r="F31" s="151" t="s">
        <v>357</v>
      </c>
      <c r="G31" s="150"/>
    </row>
    <row r="32" ht="26.25" customHeight="1">
      <c r="B32" s="148">
        <v>27.0</v>
      </c>
      <c r="C32" s="148" t="s">
        <v>4</v>
      </c>
      <c r="D32" s="149">
        <v>45925.0</v>
      </c>
      <c r="E32" s="150"/>
      <c r="F32" s="151" t="s">
        <v>360</v>
      </c>
      <c r="G32" s="150"/>
    </row>
    <row r="33" ht="26.25" customHeight="1">
      <c r="B33" s="148">
        <v>28.0</v>
      </c>
      <c r="C33" s="148" t="s">
        <v>4</v>
      </c>
      <c r="D33" s="149">
        <v>45926.0</v>
      </c>
      <c r="E33" s="150"/>
      <c r="F33" s="151" t="s">
        <v>361</v>
      </c>
      <c r="G33" s="150"/>
    </row>
    <row r="34" ht="26.25" customHeight="1">
      <c r="B34" s="148">
        <v>29.0</v>
      </c>
      <c r="C34" s="148" t="s">
        <v>4</v>
      </c>
      <c r="D34" s="149">
        <v>45927.0</v>
      </c>
      <c r="E34" s="150"/>
      <c r="F34" s="151" t="s">
        <v>364</v>
      </c>
      <c r="G34" s="150"/>
    </row>
    <row r="35" ht="26.25" customHeight="1">
      <c r="B35" s="148">
        <v>30.0</v>
      </c>
      <c r="C35" s="148" t="s">
        <v>4</v>
      </c>
      <c r="D35" s="149">
        <v>45927.0</v>
      </c>
      <c r="E35" s="150"/>
      <c r="F35" s="151" t="s">
        <v>365</v>
      </c>
      <c r="G35" s="150"/>
    </row>
    <row r="36" ht="26.25" customHeight="1">
      <c r="B36" s="148">
        <v>31.0</v>
      </c>
      <c r="C36" s="148" t="s">
        <v>4</v>
      </c>
      <c r="D36" s="149">
        <v>45927.0</v>
      </c>
      <c r="E36" s="150"/>
      <c r="F36" s="151" t="s">
        <v>368</v>
      </c>
      <c r="G36" s="150"/>
    </row>
    <row r="37" ht="26.25" customHeight="1">
      <c r="B37" s="148">
        <v>32.0</v>
      </c>
      <c r="C37" s="148" t="s">
        <v>4</v>
      </c>
      <c r="D37" s="149">
        <v>45928.0</v>
      </c>
      <c r="E37" s="150"/>
      <c r="F37" s="151" t="s">
        <v>369</v>
      </c>
      <c r="G37" s="150"/>
    </row>
    <row r="38" ht="26.25" customHeight="1">
      <c r="B38" s="148">
        <v>33.0</v>
      </c>
      <c r="C38" s="148" t="s">
        <v>4</v>
      </c>
      <c r="D38" s="149">
        <v>45928.0</v>
      </c>
      <c r="E38" s="150"/>
      <c r="F38" s="151" t="s">
        <v>371</v>
      </c>
      <c r="G38" s="150"/>
    </row>
    <row r="39" ht="26.25" customHeight="1">
      <c r="B39" s="148">
        <v>34.0</v>
      </c>
      <c r="C39" s="148" t="s">
        <v>4</v>
      </c>
      <c r="D39" s="149">
        <v>45928.0</v>
      </c>
      <c r="E39" s="150"/>
      <c r="F39" s="151" t="s">
        <v>373</v>
      </c>
      <c r="G39" s="150"/>
    </row>
    <row r="40" ht="26.25" customHeight="1">
      <c r="B40" s="148">
        <v>35.0</v>
      </c>
      <c r="C40" s="148" t="s">
        <v>4</v>
      </c>
      <c r="D40" s="149">
        <v>45929.0</v>
      </c>
      <c r="E40" s="150"/>
      <c r="F40" s="151" t="s">
        <v>375</v>
      </c>
      <c r="G40" s="150"/>
    </row>
    <row r="41" ht="26.25" customHeight="1">
      <c r="B41" s="148">
        <v>36.0</v>
      </c>
      <c r="C41" s="148" t="s">
        <v>4</v>
      </c>
      <c r="D41" s="149">
        <v>45930.0</v>
      </c>
      <c r="E41" s="150"/>
      <c r="F41" s="151" t="s">
        <v>377</v>
      </c>
      <c r="G41" s="150"/>
    </row>
    <row r="42" ht="26.25" customHeight="1">
      <c r="B42" s="148">
        <v>37.0</v>
      </c>
      <c r="C42" s="148" t="s">
        <v>4</v>
      </c>
      <c r="D42" s="149">
        <v>45931.0</v>
      </c>
      <c r="E42" s="150"/>
      <c r="F42" s="151" t="s">
        <v>379</v>
      </c>
      <c r="G42" s="150"/>
    </row>
    <row r="43" ht="26.25" customHeight="1">
      <c r="B43" s="148">
        <v>38.0</v>
      </c>
      <c r="C43" s="148" t="s">
        <v>4</v>
      </c>
      <c r="D43" s="149">
        <v>45931.0</v>
      </c>
      <c r="E43" s="150"/>
      <c r="F43" s="151" t="s">
        <v>381</v>
      </c>
      <c r="G43" s="150"/>
    </row>
    <row r="44" ht="26.25" customHeight="1">
      <c r="B44" s="148">
        <v>39.0</v>
      </c>
      <c r="C44" s="148" t="s">
        <v>4</v>
      </c>
      <c r="D44" s="149">
        <v>45932.0</v>
      </c>
      <c r="E44" s="150"/>
      <c r="F44" s="151" t="s">
        <v>382</v>
      </c>
      <c r="G44" s="150"/>
    </row>
    <row r="45" ht="26.25" customHeight="1">
      <c r="B45" s="148">
        <v>40.0</v>
      </c>
      <c r="C45" s="148" t="s">
        <v>4</v>
      </c>
      <c r="D45" s="149">
        <v>45932.0</v>
      </c>
      <c r="E45" s="150"/>
      <c r="F45" s="151" t="s">
        <v>384</v>
      </c>
      <c r="G45" s="150"/>
    </row>
    <row r="46" ht="26.25" customHeight="1">
      <c r="B46" s="148">
        <v>41.0</v>
      </c>
      <c r="C46" s="148" t="s">
        <v>4</v>
      </c>
      <c r="D46" s="149">
        <v>45933.0</v>
      </c>
      <c r="E46" s="150"/>
      <c r="F46" s="151" t="s">
        <v>386</v>
      </c>
      <c r="G46" s="150"/>
    </row>
    <row r="47" ht="26.25" customHeight="1">
      <c r="B47" s="148">
        <v>42.0</v>
      </c>
      <c r="C47" s="148" t="s">
        <v>4</v>
      </c>
      <c r="D47" s="149">
        <v>45933.0</v>
      </c>
      <c r="E47" s="150"/>
      <c r="F47" s="151" t="s">
        <v>388</v>
      </c>
      <c r="G47" s="150"/>
    </row>
    <row r="48" ht="26.25" customHeight="1">
      <c r="B48" s="148">
        <v>43.0</v>
      </c>
      <c r="C48" s="148" t="s">
        <v>4</v>
      </c>
      <c r="D48" s="149">
        <v>45934.0</v>
      </c>
      <c r="E48" s="150"/>
      <c r="F48" s="151" t="s">
        <v>389</v>
      </c>
      <c r="G48" s="150"/>
    </row>
    <row r="49" ht="26.25" customHeight="1">
      <c r="B49" s="148">
        <v>44.0</v>
      </c>
      <c r="C49" s="148" t="s">
        <v>4</v>
      </c>
      <c r="D49" s="149">
        <v>45934.0</v>
      </c>
      <c r="E49" s="150"/>
      <c r="F49" s="151" t="s">
        <v>391</v>
      </c>
      <c r="G49" s="150"/>
    </row>
  </sheetData>
  <mergeCells count="4">
    <mergeCell ref="B2:H2"/>
    <mergeCell ref="L5:M5"/>
    <mergeCell ref="L6:M6"/>
    <mergeCell ref="L7:M7"/>
  </mergeCells>
  <conditionalFormatting sqref="C6:C49">
    <cfRule type="cellIs" dxfId="13" priority="1" stopIfTrue="1" operator="equal">
      <formula>"Completed"</formula>
    </cfRule>
  </conditionalFormatting>
  <conditionalFormatting sqref="C6:C49">
    <cfRule type="cellIs" dxfId="14" priority="2" stopIfTrue="1" operator="equal">
      <formula>"Pending"</formula>
    </cfRule>
  </conditionalFormatting>
  <conditionalFormatting sqref="C6:C49">
    <cfRule type="cellIs" dxfId="15" priority="3" stopIfTrue="1" operator="equal">
      <formula>"Revisit"</formula>
    </cfRule>
  </conditionalFormatting>
  <dataValidations>
    <dataValidation type="list" allowBlank="1" showErrorMessage="1" sqref="C6:C49">
      <formula1>"Completed,Pending"</formula1>
    </dataValidation>
    <dataValidation type="custom" allowBlank="1" showErrorMessage="1" sqref="D6:D49">
      <formula1>OR(NOT(ISERROR(DATEVALUE(D6))), AND(ISNUMBER(D6), LEFT(CELL("format", D6))="D"))</formula1>
    </dataValidation>
  </dataValidations>
  <hyperlinks>
    <hyperlink r:id="rId1" ref="F6"/>
    <hyperlink r:id="rId2" ref="F7"/>
    <hyperlink r:id="rId3" ref="F8"/>
    <hyperlink r:id="rId4" ref="F9"/>
    <hyperlink r:id="rId5" ref="F10"/>
    <hyperlink r:id="rId6" ref="F11"/>
    <hyperlink r:id="rId7" ref="F12"/>
    <hyperlink r:id="rId8" ref="F13"/>
    <hyperlink r:id="rId9" ref="F14"/>
    <hyperlink r:id="rId10" ref="F15"/>
    <hyperlink r:id="rId11" ref="F16"/>
    <hyperlink r:id="rId12" ref="F17"/>
    <hyperlink r:id="rId13" ref="F18"/>
    <hyperlink r:id="rId14" ref="F19"/>
    <hyperlink r:id="rId15" ref="F20"/>
    <hyperlink r:id="rId16" ref="F21"/>
    <hyperlink r:id="rId17" ref="F22"/>
    <hyperlink r:id="rId18" ref="F23"/>
    <hyperlink r:id="rId19" ref="F24"/>
    <hyperlink r:id="rId20" ref="F25"/>
    <hyperlink r:id="rId21" ref="F26"/>
    <hyperlink r:id="rId22" ref="F27"/>
    <hyperlink r:id="rId23" ref="F28"/>
    <hyperlink r:id="rId24" ref="F29"/>
    <hyperlink r:id="rId25" ref="F30"/>
    <hyperlink r:id="rId26" ref="F31"/>
    <hyperlink r:id="rId27" ref="F32"/>
    <hyperlink r:id="rId28" ref="F33"/>
    <hyperlink r:id="rId29" ref="F34"/>
    <hyperlink r:id="rId30" ref="F35"/>
    <hyperlink r:id="rId31" ref="F36"/>
    <hyperlink r:id="rId32" ref="F37"/>
    <hyperlink r:id="rId33" ref="F38"/>
    <hyperlink r:id="rId34" ref="F39"/>
    <hyperlink r:id="rId35" ref="F40"/>
    <hyperlink r:id="rId36" ref="F41"/>
    <hyperlink r:id="rId37" ref="F42"/>
    <hyperlink r:id="rId38" ref="F43"/>
    <hyperlink r:id="rId39" ref="F44"/>
    <hyperlink r:id="rId40" ref="F45"/>
    <hyperlink r:id="rId41" ref="F46"/>
    <hyperlink r:id="rId42" ref="F47"/>
    <hyperlink r:id="rId43" ref="F48"/>
    <hyperlink r:id="rId44" ref="F49"/>
  </hyperlinks>
  <drawing r:id="rId45"/>
  <tableParts count="4">
    <tablePart r:id="rId50"/>
    <tablePart r:id="rId51"/>
    <tablePart r:id="rId52"/>
    <tablePart r:id="rId53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295</v>
      </c>
      <c r="B1" s="64">
        <f>SUM('Scriptures Tracker'!D6:D15)</f>
        <v>173</v>
      </c>
      <c r="D1" s="64" t="str">
        <f>IFERROR(__xludf.DUMMYFUNCTION("QUERY({IFERROR(ARRAYFORMULA(TEXT(FILTER('Sanskrit Tracker'!D8:D102, 'Sanskrit Tracker'!C8:C102=""Completed""), ""YYYY-MM"")), """"); IFERROR(ARRAYFORMULA(TEXT(FILTER('Sri Rudram Tracker'!D6:D36, 'Sri Rudram Tracker'!C6:C36=""Completed""), ""YYYY-MM"")), "&amp;"""""); IFERROR(ARRAYFORMULA(TEXT(FILTER('Lalitha Tracker'!D6:D49, 'Lalitha Tracker'!C6:C49=""Completed""), ""YYYY-MM"")), """"); IFERROR(ARRAYFORMULA(TEXT(FILTER('Katha Upanishad'!D6:D49, 'Katha Upanishad'!C6:C49=""Completed""), ""YYYY-MM"")), """"); IFER"&amp;"ROR(ARRAYFORMULA(TEXT(FILTER('Devi Bhaagavatham Tracker'!D8:D33, 'Devi Bhaagavatham Tracker'!C8:C33=""Completed""), ""YYYY-MM"")), """"); IFERROR(ARRAYFORMULA(TEXT(FILTER('Sootha Samhitha'!D8:D23, 'Sootha Samhitha'!C8:C23=""Completed""), ""YYYY-MM"")), """&amp;""")}, ""select Col1, count(Col1) where Col1 &lt;&gt; '' group by Col1 order by Col1 label Col1 'Month', count(Col1) 'Completed'"")"),"Month")</f>
        <v>Month</v>
      </c>
      <c r="E1" s="64" t="str">
        <f>IFERROR(__xludf.DUMMYFUNCTION("""COMPUTED_VALUE"""),"Completed")</f>
        <v>Completed</v>
      </c>
    </row>
    <row r="2">
      <c r="A2" s="1" t="s">
        <v>299</v>
      </c>
      <c r="B2" s="64">
        <f>SUM('Scriptures Tracker'!E6:E15)</f>
        <v>160</v>
      </c>
      <c r="D2" s="64" t="str">
        <f>IFERROR(__xludf.DUMMYFUNCTION("""COMPUTED_VALUE"""),"2025-09")</f>
        <v>2025-09</v>
      </c>
      <c r="E2" s="64">
        <f>IFERROR(__xludf.DUMMYFUNCTION("""COMPUTED_VALUE"""),36.0)</f>
        <v>36</v>
      </c>
    </row>
    <row r="3">
      <c r="A3" s="1" t="s">
        <v>49</v>
      </c>
      <c r="B3" s="64">
        <f>SUM('Scriptures Tracker'!F6:F15)</f>
        <v>333</v>
      </c>
      <c r="D3" s="64" t="str">
        <f>IFERROR(__xludf.DUMMYFUNCTION("""COMPUTED_VALUE"""),"2025-10")</f>
        <v>2025-10</v>
      </c>
      <c r="E3" s="64">
        <f>IFERROR(__xludf.DUMMYFUNCTION("""COMPUTED_VALUE"""),8.0)</f>
        <v>8</v>
      </c>
    </row>
    <row r="4">
      <c r="A4" s="1" t="s">
        <v>301</v>
      </c>
      <c r="B4" s="141">
        <f>B1/B3</f>
        <v>0.5195195195</v>
      </c>
      <c r="D4" s="64" t="str">
        <f>IFERROR(__xludf.DUMMYFUNCTION("""COMPUTED_VALUE"""),"2026-02")</f>
        <v>2026-02</v>
      </c>
      <c r="E4" s="64">
        <f>IFERROR(__xludf.DUMMYFUNCTION("""COMPUTED_VALUE"""),3.0)</f>
        <v>3</v>
      </c>
    </row>
    <row r="5">
      <c r="D5" s="64" t="str">
        <f>IFERROR(__xludf.DUMMYFUNCTION("""COMPUTED_VALUE"""),"2026-03")</f>
        <v>2026-03</v>
      </c>
      <c r="E5" s="64">
        <f>IFERROR(__xludf.DUMMYFUNCTION("""COMPUTED_VALUE"""),15.0)</f>
        <v>15</v>
      </c>
    </row>
    <row r="6">
      <c r="D6" s="64" t="str">
        <f>IFERROR(__xludf.DUMMYFUNCTION("""COMPUTED_VALUE"""),"2026-04")</f>
        <v>2026-04</v>
      </c>
      <c r="E6" s="64">
        <f>IFERROR(__xludf.DUMMYFUNCTION("""COMPUTED_VALUE"""),5.0)</f>
        <v>5</v>
      </c>
    </row>
    <row r="7">
      <c r="D7" s="64" t="str">
        <f>IFERROR(__xludf.DUMMYFUNCTION("""COMPUTED_VALUE"""),"2026-05")</f>
        <v>2026-05</v>
      </c>
      <c r="E7" s="64">
        <f>IFERROR(__xludf.DUMMYFUNCTION("""COMPUTED_VALUE"""),4.0)</f>
        <v>4</v>
      </c>
    </row>
    <row r="8">
      <c r="D8" s="64" t="str">
        <f>IFERROR(__xludf.DUMMYFUNCTION("""COMPUTED_VALUE"""),"2026-06")</f>
        <v>2026-06</v>
      </c>
      <c r="E8" s="64">
        <f>IFERROR(__xludf.DUMMYFUNCTION("""COMPUTED_VALUE"""),14.0)</f>
        <v>14</v>
      </c>
    </row>
    <row r="9">
      <c r="D9" s="64" t="str">
        <f>IFERROR(__xludf.DUMMYFUNCTION("""COMPUTED_VALUE"""),"2026-07")</f>
        <v>2026-07</v>
      </c>
      <c r="E9" s="64">
        <f>IFERROR(__xludf.DUMMYFUNCTION("""COMPUTED_VALUE"""),68.0)</f>
        <v>68</v>
      </c>
    </row>
    <row r="10">
      <c r="D10" s="64" t="str">
        <f>IFERROR(__xludf.DUMMYFUNCTION("""COMPUTED_VALUE"""),"2026-08")</f>
        <v>2026-08</v>
      </c>
      <c r="E10" s="64">
        <f>IFERROR(__xludf.DUMMYFUNCTION("""COMPUTED_VALUE"""),8.0)</f>
        <v>8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.75"/>
    <col customWidth="1" min="2" max="2" width="12.63"/>
    <col customWidth="1" min="3" max="4" width="15.13"/>
    <col customWidth="1" min="5" max="5" width="13.88"/>
    <col customWidth="1" min="6" max="6" width="40.0"/>
    <col customWidth="1" min="7" max="7" width="12.63"/>
    <col customWidth="1" min="8" max="8" width="2.75"/>
    <col customWidth="1" min="9" max="9" width="15.13"/>
    <col customWidth="1" min="10" max="10" width="12.63"/>
    <col customWidth="1" min="11" max="11" width="19.75"/>
  </cols>
  <sheetData>
    <row r="1">
      <c r="A1" s="26"/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</row>
    <row r="2">
      <c r="A2" s="26"/>
      <c r="B2" s="29" t="s">
        <v>339</v>
      </c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</row>
    <row r="3">
      <c r="A3" s="26"/>
      <c r="B3" s="26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</row>
    <row r="4">
      <c r="A4" s="26"/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</row>
    <row r="5">
      <c r="A5" s="26"/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</row>
    <row r="6">
      <c r="A6" s="26"/>
      <c r="B6" s="26"/>
      <c r="C6" s="26"/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/>
    </row>
    <row r="7">
      <c r="A7" s="26"/>
      <c r="B7" s="32" t="s">
        <v>2</v>
      </c>
      <c r="C7" s="32" t="s">
        <v>27</v>
      </c>
      <c r="D7" s="32" t="s">
        <v>28</v>
      </c>
      <c r="E7" s="32" t="s">
        <v>29</v>
      </c>
      <c r="F7" s="34" t="s">
        <v>30</v>
      </c>
      <c r="G7" s="30" t="s">
        <v>31</v>
      </c>
      <c r="H7" s="26"/>
      <c r="I7" s="35" t="s">
        <v>32</v>
      </c>
      <c r="J7" s="26"/>
      <c r="K7" s="36" t="s">
        <v>11</v>
      </c>
      <c r="L7" s="40" t="str">
        <f>IFERROR(__xludf.DUMMYFUNCTION("SPARKLINE(I8, {""charttype"",""bar"";""max"",1;""color1"",""#4CAF50""})"),"")</f>
        <v/>
      </c>
      <c r="N7" s="41" t="s">
        <v>34</v>
      </c>
      <c r="O7" s="43" t="s">
        <v>35</v>
      </c>
      <c r="P7" s="26"/>
    </row>
    <row r="8">
      <c r="A8" s="26"/>
      <c r="B8" s="44">
        <v>1.0</v>
      </c>
      <c r="C8" s="44" t="s">
        <v>4</v>
      </c>
      <c r="D8" s="45">
        <v>46196.0</v>
      </c>
      <c r="E8" s="47"/>
      <c r="F8" s="49" t="s">
        <v>346</v>
      </c>
      <c r="G8" s="26"/>
      <c r="H8" s="26"/>
      <c r="I8" s="50">
        <f t="shared" ref="I8:I9" si="1">L8/$L$10</f>
        <v>1</v>
      </c>
      <c r="J8" s="26"/>
      <c r="K8" s="51" t="s">
        <v>4</v>
      </c>
      <c r="L8" s="52">
        <f>COUNTIF(C8:C33, "Completed")</f>
        <v>26</v>
      </c>
      <c r="N8" s="53">
        <f>DATE(2026, 7, 1)</f>
        <v>46204</v>
      </c>
      <c r="O8" s="54">
        <f t="shared" ref="O8:O13" si="2">COUNTIFS($D$8:$D$33, "&gt;="&amp;N8, $D$8:$D$33, "&lt;="&amp;EOMONTH(N8, 0), $C$8:$C$33, "Completed")</f>
        <v>20</v>
      </c>
      <c r="P8" s="26"/>
    </row>
    <row r="9">
      <c r="A9" s="26"/>
      <c r="B9" s="44">
        <v>2.0</v>
      </c>
      <c r="C9" s="44" t="s">
        <v>4</v>
      </c>
      <c r="D9" s="45">
        <v>46198.0</v>
      </c>
      <c r="E9" s="47"/>
      <c r="F9" s="49" t="s">
        <v>352</v>
      </c>
      <c r="G9" s="26"/>
      <c r="H9" s="26"/>
      <c r="I9" s="50">
        <f t="shared" si="1"/>
        <v>0</v>
      </c>
      <c r="J9" s="26"/>
      <c r="K9" s="51" t="s">
        <v>36</v>
      </c>
      <c r="L9" s="52">
        <f>COUNTIF(C8:C33, "Pending")</f>
        <v>0</v>
      </c>
      <c r="N9" s="53">
        <f>DATE(2026, 8, 1)</f>
        <v>46235</v>
      </c>
      <c r="O9" s="54">
        <f t="shared" si="2"/>
        <v>0</v>
      </c>
      <c r="P9" s="26"/>
    </row>
    <row r="10">
      <c r="A10" s="26"/>
      <c r="B10" s="44">
        <v>3.0</v>
      </c>
      <c r="C10" s="44" t="s">
        <v>4</v>
      </c>
      <c r="D10" s="45">
        <v>46199.0</v>
      </c>
      <c r="E10" s="47"/>
      <c r="F10" s="49" t="s">
        <v>356</v>
      </c>
      <c r="G10" s="26"/>
      <c r="H10" s="26"/>
      <c r="I10" s="26"/>
      <c r="J10" s="26"/>
      <c r="K10" s="51" t="s">
        <v>49</v>
      </c>
      <c r="L10" s="52">
        <f>COUNT(B8:B33)</f>
        <v>26</v>
      </c>
      <c r="M10" s="56"/>
      <c r="N10" s="53">
        <f>DATE(2026, 9, 1)</f>
        <v>46266</v>
      </c>
      <c r="O10" s="54">
        <f t="shared" si="2"/>
        <v>0</v>
      </c>
      <c r="P10" s="26"/>
    </row>
    <row r="11">
      <c r="A11" s="26"/>
      <c r="B11" s="44">
        <v>4.0</v>
      </c>
      <c r="C11" s="44" t="s">
        <v>4</v>
      </c>
      <c r="D11" s="45">
        <v>46200.0</v>
      </c>
      <c r="E11" s="47"/>
      <c r="F11" s="49" t="s">
        <v>359</v>
      </c>
      <c r="G11" s="26"/>
      <c r="H11" s="26"/>
      <c r="I11" s="26"/>
      <c r="J11" s="26"/>
      <c r="K11" s="51" t="s">
        <v>53</v>
      </c>
      <c r="L11" s="58">
        <f>SUM(G8:G33)</f>
        <v>0</v>
      </c>
      <c r="M11" s="56"/>
      <c r="N11" s="53">
        <f>DATE(2026, 10, 1)</f>
        <v>46296</v>
      </c>
      <c r="O11" s="54">
        <f t="shared" si="2"/>
        <v>0</v>
      </c>
      <c r="P11" s="26"/>
    </row>
    <row r="12">
      <c r="A12" s="26"/>
      <c r="B12" s="44">
        <v>5.0</v>
      </c>
      <c r="C12" s="44" t="s">
        <v>4</v>
      </c>
      <c r="D12" s="45">
        <v>46201.0</v>
      </c>
      <c r="E12" s="47"/>
      <c r="F12" s="49" t="s">
        <v>363</v>
      </c>
      <c r="G12" s="26"/>
      <c r="H12" s="26"/>
      <c r="I12" s="26"/>
      <c r="J12" s="26"/>
      <c r="K12" s="51" t="s">
        <v>58</v>
      </c>
      <c r="L12" s="58">
        <f>SUMIF(C8:C33, "Pending", G8:G33)</f>
        <v>0</v>
      </c>
      <c r="M12" s="56"/>
      <c r="N12" s="53">
        <f>DATE(2026, 11, 1)</f>
        <v>46327</v>
      </c>
      <c r="O12" s="54">
        <f t="shared" si="2"/>
        <v>0</v>
      </c>
      <c r="P12" s="26"/>
    </row>
    <row r="13">
      <c r="A13" s="26"/>
      <c r="B13" s="44">
        <v>6.0</v>
      </c>
      <c r="C13" s="44" t="s">
        <v>4</v>
      </c>
      <c r="D13" s="45">
        <v>46203.0</v>
      </c>
      <c r="E13" s="47"/>
      <c r="F13" s="49" t="s">
        <v>367</v>
      </c>
      <c r="G13" s="26"/>
      <c r="H13" s="26"/>
      <c r="I13" s="26"/>
      <c r="J13" s="26"/>
      <c r="K13" s="51" t="s">
        <v>7</v>
      </c>
      <c r="L13" s="61"/>
      <c r="M13" s="56"/>
      <c r="N13" s="53">
        <f>DATE(2026, 12, 1)</f>
        <v>46357</v>
      </c>
      <c r="O13" s="54">
        <f t="shared" si="2"/>
        <v>0</v>
      </c>
      <c r="P13" s="26"/>
    </row>
    <row r="14">
      <c r="A14" s="26"/>
      <c r="B14" s="44">
        <v>7.0</v>
      </c>
      <c r="C14" s="44" t="s">
        <v>4</v>
      </c>
      <c r="D14" s="45">
        <v>46204.0</v>
      </c>
      <c r="E14" s="47"/>
      <c r="F14" s="49" t="s">
        <v>370</v>
      </c>
      <c r="G14" s="26"/>
      <c r="H14" s="26"/>
      <c r="I14" s="26"/>
      <c r="J14" s="26"/>
      <c r="K14" s="51" t="s">
        <v>67</v>
      </c>
      <c r="L14" s="61"/>
      <c r="M14" s="56"/>
      <c r="N14" s="66"/>
      <c r="O14" s="26"/>
      <c r="P14" s="26"/>
    </row>
    <row r="15">
      <c r="A15" s="26"/>
      <c r="B15" s="44">
        <v>8.0</v>
      </c>
      <c r="C15" s="44" t="s">
        <v>4</v>
      </c>
      <c r="D15" s="45">
        <v>46206.0</v>
      </c>
      <c r="E15" s="47"/>
      <c r="F15" s="49" t="s">
        <v>374</v>
      </c>
      <c r="G15" s="26"/>
      <c r="H15" s="26"/>
      <c r="I15" s="26"/>
      <c r="J15" s="26"/>
      <c r="K15" s="56"/>
      <c r="L15" s="56"/>
      <c r="M15" s="56"/>
      <c r="N15" s="66"/>
      <c r="O15" s="26"/>
      <c r="P15" s="26"/>
    </row>
    <row r="16">
      <c r="A16" s="26"/>
      <c r="B16" s="44">
        <v>9.0</v>
      </c>
      <c r="C16" s="44" t="s">
        <v>4</v>
      </c>
      <c r="D16" s="45">
        <v>46213.0</v>
      </c>
      <c r="E16" s="47"/>
      <c r="F16" s="49" t="s">
        <v>376</v>
      </c>
      <c r="G16" s="26"/>
      <c r="H16" s="26"/>
      <c r="I16" s="26"/>
      <c r="J16" s="26"/>
      <c r="K16" s="67" t="s">
        <v>73</v>
      </c>
      <c r="L16" s="67" t="s">
        <v>4</v>
      </c>
      <c r="M16" s="67" t="s">
        <v>36</v>
      </c>
      <c r="N16" s="66"/>
      <c r="O16" s="26"/>
      <c r="P16" s="26"/>
    </row>
    <row r="17">
      <c r="A17" s="26"/>
      <c r="B17" s="44">
        <v>10.0</v>
      </c>
      <c r="C17" s="44" t="s">
        <v>4</v>
      </c>
      <c r="D17" s="45">
        <v>46214.0</v>
      </c>
      <c r="E17" s="47"/>
      <c r="F17" s="49" t="s">
        <v>380</v>
      </c>
      <c r="G17" s="26"/>
      <c r="H17" s="26"/>
      <c r="I17" s="26"/>
      <c r="J17" s="26"/>
      <c r="K17" s="67" t="s">
        <v>75</v>
      </c>
      <c r="L17" s="69">
        <f>L8</f>
        <v>26</v>
      </c>
      <c r="M17" s="69">
        <f>L9</f>
        <v>0</v>
      </c>
      <c r="N17" s="66"/>
      <c r="O17" s="26"/>
      <c r="P17" s="26"/>
    </row>
    <row r="18">
      <c r="A18" s="26"/>
      <c r="B18" s="44">
        <v>11.0</v>
      </c>
      <c r="C18" s="44" t="s">
        <v>4</v>
      </c>
      <c r="D18" s="45">
        <v>46214.0</v>
      </c>
      <c r="E18" s="47"/>
      <c r="F18" s="49" t="s">
        <v>383</v>
      </c>
      <c r="G18" s="26"/>
      <c r="H18" s="26"/>
      <c r="I18" s="26"/>
      <c r="J18" s="26"/>
      <c r="K18" s="26"/>
      <c r="L18" s="26"/>
      <c r="M18" s="26"/>
      <c r="N18" s="70"/>
      <c r="O18" s="26"/>
      <c r="P18" s="26"/>
    </row>
    <row r="19">
      <c r="A19" s="26"/>
      <c r="B19" s="44">
        <v>12.0</v>
      </c>
      <c r="C19" s="44" t="s">
        <v>4</v>
      </c>
      <c r="D19" s="45">
        <v>46215.0</v>
      </c>
      <c r="E19" s="47"/>
      <c r="F19" s="49" t="s">
        <v>385</v>
      </c>
      <c r="G19" s="26"/>
      <c r="H19" s="26"/>
      <c r="I19" s="26"/>
      <c r="J19" s="26"/>
      <c r="K19" s="26"/>
      <c r="L19" s="26"/>
      <c r="M19" s="26"/>
      <c r="N19" s="70"/>
      <c r="O19" s="26"/>
      <c r="P19" s="26"/>
    </row>
    <row r="20">
      <c r="A20" s="26"/>
      <c r="B20" s="44">
        <v>13.0</v>
      </c>
      <c r="C20" s="44" t="s">
        <v>4</v>
      </c>
      <c r="D20" s="45">
        <v>46216.0</v>
      </c>
      <c r="E20" s="47"/>
      <c r="F20" s="49" t="s">
        <v>387</v>
      </c>
      <c r="G20" s="26"/>
      <c r="H20" s="26"/>
      <c r="I20" s="26"/>
      <c r="J20" s="26"/>
      <c r="K20" s="26"/>
      <c r="L20" s="26"/>
      <c r="M20" s="26"/>
      <c r="N20" s="70"/>
      <c r="O20" s="26"/>
      <c r="P20" s="26"/>
    </row>
    <row r="21">
      <c r="A21" s="26"/>
      <c r="B21" s="44">
        <v>14.0</v>
      </c>
      <c r="C21" s="44" t="s">
        <v>4</v>
      </c>
      <c r="D21" s="45">
        <v>46216.0</v>
      </c>
      <c r="E21" s="47"/>
      <c r="F21" s="49" t="s">
        <v>390</v>
      </c>
      <c r="G21" s="26"/>
      <c r="H21" s="26"/>
      <c r="I21" s="26"/>
      <c r="J21" s="26"/>
      <c r="K21" s="26"/>
      <c r="L21" s="26"/>
      <c r="M21" s="26"/>
      <c r="N21" s="70"/>
      <c r="O21" s="26"/>
      <c r="P21" s="26"/>
    </row>
    <row r="22">
      <c r="A22" s="26"/>
      <c r="B22" s="44">
        <v>15.0</v>
      </c>
      <c r="C22" s="44" t="s">
        <v>4</v>
      </c>
      <c r="D22" s="45">
        <v>46217.0</v>
      </c>
      <c r="E22" s="47"/>
      <c r="F22" s="49" t="s">
        <v>392</v>
      </c>
      <c r="G22" s="26"/>
      <c r="H22" s="26"/>
      <c r="I22" s="26"/>
      <c r="J22" s="26"/>
      <c r="K22" s="26"/>
      <c r="L22" s="26"/>
      <c r="M22" s="26"/>
      <c r="N22" s="70"/>
      <c r="O22" s="26"/>
      <c r="P22" s="26"/>
    </row>
    <row r="23">
      <c r="A23" s="26"/>
      <c r="B23" s="44">
        <v>16.0</v>
      </c>
      <c r="C23" s="44" t="s">
        <v>4</v>
      </c>
      <c r="D23" s="45">
        <v>46217.0</v>
      </c>
      <c r="E23" s="47"/>
      <c r="F23" s="49" t="s">
        <v>393</v>
      </c>
      <c r="G23" s="26"/>
      <c r="H23" s="26"/>
      <c r="I23" s="26"/>
      <c r="J23" s="26"/>
      <c r="K23" s="26"/>
      <c r="L23" s="26"/>
      <c r="M23" s="26"/>
      <c r="N23" s="70"/>
      <c r="O23" s="26"/>
      <c r="P23" s="26"/>
    </row>
    <row r="24">
      <c r="A24" s="26"/>
      <c r="B24" s="44">
        <v>17.0</v>
      </c>
      <c r="C24" s="44" t="s">
        <v>4</v>
      </c>
      <c r="D24" s="45">
        <v>46218.0</v>
      </c>
      <c r="E24" s="47"/>
      <c r="F24" s="49" t="s">
        <v>395</v>
      </c>
      <c r="G24" s="26"/>
      <c r="H24" s="26"/>
      <c r="I24" s="26"/>
      <c r="J24" s="26"/>
      <c r="K24" s="26"/>
      <c r="L24" s="26"/>
      <c r="M24" s="26"/>
      <c r="N24" s="70"/>
      <c r="O24" s="26"/>
      <c r="P24" s="26"/>
    </row>
    <row r="25">
      <c r="A25" s="26"/>
      <c r="B25" s="44">
        <v>18.0</v>
      </c>
      <c r="C25" s="44" t="s">
        <v>4</v>
      </c>
      <c r="D25" s="45">
        <v>46219.0</v>
      </c>
      <c r="E25" s="47"/>
      <c r="F25" s="49" t="s">
        <v>397</v>
      </c>
      <c r="G25" s="26"/>
      <c r="H25" s="26"/>
      <c r="I25" s="26"/>
      <c r="J25" s="26"/>
      <c r="K25" s="26"/>
      <c r="L25" s="26"/>
      <c r="M25" s="26"/>
      <c r="N25" s="70"/>
      <c r="O25" s="26"/>
      <c r="P25" s="26"/>
    </row>
    <row r="26">
      <c r="A26" s="26"/>
      <c r="B26" s="44">
        <v>19.0</v>
      </c>
      <c r="C26" s="44" t="s">
        <v>4</v>
      </c>
      <c r="D26" s="45">
        <v>46219.0</v>
      </c>
      <c r="E26" s="47"/>
      <c r="F26" s="49" t="s">
        <v>399</v>
      </c>
      <c r="G26" s="26"/>
      <c r="H26" s="26"/>
      <c r="I26" s="26"/>
      <c r="J26" s="26"/>
      <c r="K26" s="26"/>
      <c r="L26" s="26"/>
      <c r="M26" s="26"/>
      <c r="N26" s="70"/>
      <c r="O26" s="26"/>
      <c r="P26" s="26"/>
    </row>
    <row r="27">
      <c r="A27" s="26"/>
      <c r="B27" s="44">
        <v>20.0</v>
      </c>
      <c r="C27" s="44" t="s">
        <v>4</v>
      </c>
      <c r="D27" s="45">
        <v>46219.0</v>
      </c>
      <c r="E27" s="47"/>
      <c r="F27" s="49" t="s">
        <v>401</v>
      </c>
      <c r="G27" s="26"/>
      <c r="H27" s="26"/>
      <c r="I27" s="26"/>
      <c r="J27" s="26"/>
      <c r="K27" s="26"/>
      <c r="L27" s="26"/>
      <c r="M27" s="26"/>
      <c r="N27" s="70"/>
      <c r="O27" s="26"/>
      <c r="P27" s="26"/>
    </row>
    <row r="28">
      <c r="A28" s="26"/>
      <c r="B28" s="44">
        <v>21.0</v>
      </c>
      <c r="C28" s="44" t="s">
        <v>4</v>
      </c>
      <c r="D28" s="45">
        <v>46219.0</v>
      </c>
      <c r="E28" s="47"/>
      <c r="F28" s="49" t="s">
        <v>402</v>
      </c>
      <c r="G28" s="26"/>
      <c r="H28" s="26"/>
      <c r="I28" s="26"/>
      <c r="J28" s="26"/>
      <c r="K28" s="26"/>
      <c r="L28" s="26"/>
      <c r="M28" s="26"/>
      <c r="N28" s="70"/>
      <c r="O28" s="26"/>
      <c r="P28" s="26"/>
    </row>
    <row r="29">
      <c r="A29" s="26"/>
      <c r="B29" s="44">
        <v>22.0</v>
      </c>
      <c r="C29" s="44" t="s">
        <v>4</v>
      </c>
      <c r="D29" s="45">
        <v>46221.0</v>
      </c>
      <c r="E29" s="47"/>
      <c r="F29" s="49" t="s">
        <v>404</v>
      </c>
      <c r="G29" s="26"/>
      <c r="H29" s="26"/>
      <c r="I29" s="26"/>
      <c r="J29" s="26"/>
      <c r="K29" s="26"/>
      <c r="L29" s="26"/>
      <c r="M29" s="26"/>
      <c r="N29" s="70"/>
      <c r="O29" s="26"/>
      <c r="P29" s="26"/>
    </row>
    <row r="30">
      <c r="A30" s="26"/>
      <c r="B30" s="44">
        <v>23.0</v>
      </c>
      <c r="C30" s="44" t="s">
        <v>4</v>
      </c>
      <c r="D30" s="45">
        <v>46221.0</v>
      </c>
      <c r="E30" s="47"/>
      <c r="F30" s="49" t="s">
        <v>405</v>
      </c>
      <c r="G30" s="26"/>
      <c r="H30" s="26"/>
      <c r="I30" s="26"/>
      <c r="J30" s="26"/>
      <c r="K30" s="26"/>
      <c r="L30" s="26"/>
      <c r="M30" s="26"/>
      <c r="N30" s="70"/>
      <c r="O30" s="26"/>
      <c r="P30" s="26"/>
    </row>
    <row r="31">
      <c r="A31" s="26"/>
      <c r="B31" s="44">
        <v>24.0</v>
      </c>
      <c r="C31" s="44" t="s">
        <v>4</v>
      </c>
      <c r="D31" s="45">
        <v>46221.0</v>
      </c>
      <c r="E31" s="47"/>
      <c r="F31" s="49" t="s">
        <v>407</v>
      </c>
      <c r="G31" s="26"/>
      <c r="H31" s="26"/>
      <c r="I31" s="26"/>
      <c r="J31" s="26"/>
      <c r="K31" s="26"/>
      <c r="L31" s="26"/>
      <c r="M31" s="26"/>
      <c r="N31" s="70"/>
      <c r="O31" s="26"/>
      <c r="P31" s="26"/>
    </row>
    <row r="32">
      <c r="A32" s="26"/>
      <c r="B32" s="44">
        <v>25.0</v>
      </c>
      <c r="C32" s="44" t="s">
        <v>4</v>
      </c>
      <c r="D32" s="45">
        <v>46221.0</v>
      </c>
      <c r="E32" s="47"/>
      <c r="F32" s="49" t="s">
        <v>409</v>
      </c>
      <c r="G32" s="26"/>
      <c r="H32" s="26"/>
      <c r="I32" s="26"/>
      <c r="J32" s="26"/>
      <c r="K32" s="26"/>
      <c r="L32" s="26"/>
      <c r="M32" s="26"/>
      <c r="N32" s="70"/>
      <c r="O32" s="26"/>
      <c r="P32" s="26"/>
    </row>
    <row r="33">
      <c r="A33" s="26"/>
      <c r="B33" s="44">
        <v>26.0</v>
      </c>
      <c r="C33" s="44" t="s">
        <v>4</v>
      </c>
      <c r="D33" s="45">
        <v>46223.0</v>
      </c>
      <c r="E33" s="47"/>
      <c r="F33" s="49" t="s">
        <v>411</v>
      </c>
      <c r="G33" s="26"/>
      <c r="H33" s="26"/>
      <c r="I33" s="26"/>
      <c r="J33" s="26"/>
      <c r="K33" s="26"/>
      <c r="L33" s="26"/>
      <c r="M33" s="26"/>
      <c r="N33" s="70"/>
      <c r="O33" s="26"/>
      <c r="P33" s="26"/>
    </row>
  </sheetData>
  <conditionalFormatting sqref="C8:C33">
    <cfRule type="cellIs" dxfId="5" priority="1" stopIfTrue="1" operator="equal">
      <formula>"Completed"</formula>
    </cfRule>
  </conditionalFormatting>
  <conditionalFormatting sqref="C8:C33">
    <cfRule type="cellIs" dxfId="6" priority="2" stopIfTrue="1" operator="equal">
      <formula>"Pending"</formula>
    </cfRule>
  </conditionalFormatting>
  <conditionalFormatting sqref="C8:C33">
    <cfRule type="cellIs" dxfId="7" priority="3" stopIfTrue="1" operator="equal">
      <formula>"Revisit"</formula>
    </cfRule>
  </conditionalFormatting>
  <dataValidations>
    <dataValidation type="list" allowBlank="1" showErrorMessage="1" sqref="C8:C33">
      <formula1>"Completed,Pending"</formula1>
    </dataValidation>
    <dataValidation type="custom" allowBlank="1" showErrorMessage="1" sqref="D8:D33">
      <formula1>OR(NOT(ISERROR(DATEVALUE(D8))), AND(ISNUMBER(D8), LEFT(CELL("format", D8))="D"))</formula1>
    </dataValidation>
  </dataValidations>
  <hyperlinks>
    <hyperlink r:id="rId1" ref="F8"/>
    <hyperlink r:id="rId2" ref="F9"/>
    <hyperlink r:id="rId3" ref="F10"/>
    <hyperlink r:id="rId4" ref="F11"/>
    <hyperlink r:id="rId5" ref="F12"/>
    <hyperlink r:id="rId6" ref="F13"/>
    <hyperlink r:id="rId7" ref="F14"/>
    <hyperlink r:id="rId8" ref="F15"/>
    <hyperlink r:id="rId9" ref="F16"/>
    <hyperlink r:id="rId10" ref="F17"/>
    <hyperlink r:id="rId11" ref="F18"/>
    <hyperlink r:id="rId12" ref="F19"/>
    <hyperlink r:id="rId13" ref="F20"/>
    <hyperlink r:id="rId14" ref="F21"/>
    <hyperlink r:id="rId15" ref="F22"/>
    <hyperlink r:id="rId16" ref="F23"/>
    <hyperlink r:id="rId17" ref="F24"/>
    <hyperlink r:id="rId18" ref="F25"/>
    <hyperlink r:id="rId19" ref="F26"/>
    <hyperlink r:id="rId20" ref="F27"/>
    <hyperlink r:id="rId21" ref="F28"/>
    <hyperlink r:id="rId22" ref="F29"/>
    <hyperlink r:id="rId23" ref="F30"/>
    <hyperlink r:id="rId24" ref="F31"/>
    <hyperlink r:id="rId25" ref="F32"/>
    <hyperlink r:id="rId26" ref="F33"/>
  </hyperlinks>
  <drawing r:id="rId27"/>
  <tableParts count="1">
    <tablePart r:id="rId29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.75"/>
    <col customWidth="1" min="2" max="2" width="46.38"/>
    <col customWidth="1" min="3" max="3" width="21.0"/>
    <col customWidth="1" min="4" max="4" width="12.63"/>
    <col customWidth="1" min="5" max="5" width="5.25"/>
    <col customWidth="1" min="6" max="6" width="39.25"/>
    <col customWidth="1" min="7" max="7" width="7.0"/>
    <col customWidth="1" min="8" max="8" width="2.75"/>
    <col customWidth="1" min="9" max="9" width="15.13"/>
    <col customWidth="1" min="10" max="10" width="12.63"/>
    <col customWidth="1" min="11" max="11" width="19.75"/>
  </cols>
  <sheetData>
    <row r="1">
      <c r="A1" s="26"/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</row>
    <row r="2">
      <c r="A2" s="30" t="s">
        <v>59</v>
      </c>
      <c r="B2" s="28" t="s">
        <v>23</v>
      </c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</row>
    <row r="3">
      <c r="A3" s="26"/>
      <c r="B3" s="26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</row>
    <row r="4">
      <c r="A4" s="26"/>
      <c r="C4" s="26"/>
      <c r="D4" s="26"/>
      <c r="E4" s="26"/>
      <c r="F4" s="30" t="s">
        <v>25</v>
      </c>
      <c r="G4" s="26"/>
      <c r="H4" s="26"/>
      <c r="I4" s="26"/>
      <c r="J4" s="26"/>
      <c r="K4" s="26"/>
      <c r="L4" s="26"/>
      <c r="M4" s="26"/>
      <c r="N4" s="26"/>
      <c r="O4" s="26"/>
      <c r="P4" s="26"/>
    </row>
    <row r="5">
      <c r="A5" s="26"/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</row>
    <row r="6">
      <c r="A6" s="26"/>
      <c r="B6" s="26"/>
      <c r="C6" s="26"/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/>
    </row>
    <row r="7">
      <c r="A7" s="26"/>
      <c r="B7" s="32" t="s">
        <v>2</v>
      </c>
      <c r="C7" s="32" t="s">
        <v>27</v>
      </c>
      <c r="D7" s="32" t="s">
        <v>28</v>
      </c>
      <c r="E7" s="32" t="s">
        <v>29</v>
      </c>
      <c r="F7" s="34" t="s">
        <v>30</v>
      </c>
      <c r="G7" s="30" t="s">
        <v>31</v>
      </c>
      <c r="H7" s="26"/>
      <c r="I7" s="35" t="s">
        <v>32</v>
      </c>
      <c r="J7" s="26"/>
      <c r="K7" s="36" t="s">
        <v>11</v>
      </c>
      <c r="L7" s="40" t="str">
        <f>IFERROR(__xludf.DUMMYFUNCTION("SPARKLINE(I8, {""charttype"",""bar"";""max"",1;""color1"",""#4CAF50""})"),"")</f>
        <v/>
      </c>
      <c r="N7" s="41" t="s">
        <v>34</v>
      </c>
      <c r="O7" s="43" t="s">
        <v>35</v>
      </c>
      <c r="P7" s="26"/>
    </row>
    <row r="8">
      <c r="A8" s="26"/>
      <c r="B8" s="44">
        <v>1.0</v>
      </c>
      <c r="C8" s="44" t="s">
        <v>36</v>
      </c>
      <c r="D8" s="45"/>
      <c r="E8" s="47"/>
      <c r="F8" s="49" t="s">
        <v>353</v>
      </c>
      <c r="G8" s="26"/>
      <c r="H8" s="26"/>
      <c r="I8" s="50">
        <f t="shared" ref="I8:I9" si="1">L8/$L$10</f>
        <v>0</v>
      </c>
      <c r="J8" s="26"/>
      <c r="K8" s="51" t="s">
        <v>4</v>
      </c>
      <c r="L8" s="52">
        <f>COUNTIF(C8:C22, "Completed")</f>
        <v>0</v>
      </c>
      <c r="N8" s="53">
        <f>DATE(2026, 7, 1)</f>
        <v>46204</v>
      </c>
      <c r="O8" s="54">
        <f t="shared" ref="O8:O13" si="2">COUNTIFS($D$8:$D$22, "&gt;="&amp;N8, $D$8:$D$22, "&lt;="&amp;EOMONTH(N8, 0), $C$8:$C$22, "Completed")</f>
        <v>0</v>
      </c>
      <c r="P8" s="26"/>
    </row>
    <row r="9">
      <c r="A9" s="26"/>
      <c r="B9" s="44">
        <v>2.0</v>
      </c>
      <c r="C9" s="44" t="s">
        <v>36</v>
      </c>
      <c r="D9" s="45"/>
      <c r="E9" s="47"/>
      <c r="F9" s="49" t="s">
        <v>358</v>
      </c>
      <c r="G9" s="26"/>
      <c r="H9" s="26"/>
      <c r="I9" s="50">
        <f t="shared" si="1"/>
        <v>1</v>
      </c>
      <c r="J9" s="26"/>
      <c r="K9" s="51" t="s">
        <v>36</v>
      </c>
      <c r="L9" s="52">
        <f>COUNTIF(C8:C22, "Pending")</f>
        <v>15</v>
      </c>
      <c r="N9" s="53">
        <f>DATE(2026, 8, 1)</f>
        <v>46235</v>
      </c>
      <c r="O9" s="54">
        <f t="shared" si="2"/>
        <v>0</v>
      </c>
      <c r="P9" s="26"/>
    </row>
    <row r="10">
      <c r="A10" s="26"/>
      <c r="B10" s="44">
        <v>3.0</v>
      </c>
      <c r="C10" s="44" t="s">
        <v>36</v>
      </c>
      <c r="D10" s="45"/>
      <c r="E10" s="47"/>
      <c r="F10" s="49" t="s">
        <v>362</v>
      </c>
      <c r="G10" s="26"/>
      <c r="H10" s="26"/>
      <c r="I10" s="26"/>
      <c r="J10" s="26"/>
      <c r="K10" s="51" t="s">
        <v>49</v>
      </c>
      <c r="L10" s="52">
        <f>COUNTA(B8:B22)</f>
        <v>15</v>
      </c>
      <c r="M10" s="56"/>
      <c r="N10" s="53">
        <f>DATE(2026, 9, 1)</f>
        <v>46266</v>
      </c>
      <c r="O10" s="54">
        <f t="shared" si="2"/>
        <v>0</v>
      </c>
      <c r="P10" s="26"/>
    </row>
    <row r="11">
      <c r="A11" s="26"/>
      <c r="B11" s="44">
        <v>4.0</v>
      </c>
      <c r="C11" s="44" t="s">
        <v>36</v>
      </c>
      <c r="D11" s="45"/>
      <c r="E11" s="47"/>
      <c r="F11" s="49" t="s">
        <v>366</v>
      </c>
      <c r="G11" s="26"/>
      <c r="H11" s="26"/>
      <c r="I11" s="26"/>
      <c r="J11" s="26"/>
      <c r="K11" s="51" t="s">
        <v>53</v>
      </c>
      <c r="L11" s="58">
        <f>SUM(G8:G22)</f>
        <v>0</v>
      </c>
      <c r="M11" s="56"/>
      <c r="N11" s="53">
        <f>DATE(2026, 10, 1)</f>
        <v>46296</v>
      </c>
      <c r="O11" s="54">
        <f t="shared" si="2"/>
        <v>0</v>
      </c>
      <c r="P11" s="26"/>
    </row>
    <row r="12">
      <c r="A12" s="26"/>
      <c r="B12" s="44">
        <v>5.0</v>
      </c>
      <c r="C12" s="44" t="s">
        <v>36</v>
      </c>
      <c r="D12" s="45"/>
      <c r="E12" s="47"/>
      <c r="F12" s="49" t="s">
        <v>372</v>
      </c>
      <c r="G12" s="26"/>
      <c r="H12" s="26"/>
      <c r="I12" s="26"/>
      <c r="J12" s="26"/>
      <c r="K12" s="51" t="s">
        <v>58</v>
      </c>
      <c r="L12" s="58">
        <f>SUMIF(C8:C22, "Pending", G8:G22)</f>
        <v>0</v>
      </c>
      <c r="M12" s="56"/>
      <c r="N12" s="53">
        <f>DATE(2026, 11, 1)</f>
        <v>46327</v>
      </c>
      <c r="O12" s="54">
        <f t="shared" si="2"/>
        <v>0</v>
      </c>
      <c r="P12" s="26"/>
    </row>
    <row r="13">
      <c r="A13" s="26"/>
      <c r="B13" s="44">
        <v>6.0</v>
      </c>
      <c r="C13" s="44" t="s">
        <v>36</v>
      </c>
      <c r="D13" s="45"/>
      <c r="E13" s="47"/>
      <c r="F13" s="49" t="s">
        <v>378</v>
      </c>
      <c r="G13" s="26"/>
      <c r="H13" s="26"/>
      <c r="I13" s="26"/>
      <c r="J13" s="26"/>
      <c r="K13" s="51" t="s">
        <v>7</v>
      </c>
      <c r="L13" s="61"/>
      <c r="M13" s="56"/>
      <c r="N13" s="53">
        <f>DATE(2026, 12, 1)</f>
        <v>46357</v>
      </c>
      <c r="O13" s="54">
        <f t="shared" si="2"/>
        <v>0</v>
      </c>
      <c r="P13" s="26"/>
    </row>
    <row r="14">
      <c r="A14" s="26"/>
      <c r="B14" s="44">
        <v>7.0</v>
      </c>
      <c r="C14" s="44" t="s">
        <v>36</v>
      </c>
      <c r="D14" s="45"/>
      <c r="E14" s="47"/>
      <c r="F14" s="49" t="s">
        <v>394</v>
      </c>
      <c r="G14" s="26"/>
      <c r="H14" s="26"/>
      <c r="I14" s="26"/>
      <c r="J14" s="26"/>
      <c r="K14" s="51" t="s">
        <v>67</v>
      </c>
      <c r="L14" s="61"/>
      <c r="M14" s="56"/>
      <c r="N14" s="66"/>
      <c r="O14" s="26"/>
      <c r="P14" s="26"/>
    </row>
    <row r="15">
      <c r="A15" s="26"/>
      <c r="B15" s="44">
        <v>8.0</v>
      </c>
      <c r="C15" s="44" t="s">
        <v>36</v>
      </c>
      <c r="D15" s="45"/>
      <c r="E15" s="47"/>
      <c r="F15" s="49" t="s">
        <v>396</v>
      </c>
      <c r="G15" s="26"/>
      <c r="H15" s="26"/>
      <c r="I15" s="26"/>
      <c r="J15" s="26"/>
      <c r="K15" s="56"/>
      <c r="L15" s="56"/>
      <c r="M15" s="56"/>
      <c r="N15" s="66"/>
      <c r="O15" s="26"/>
      <c r="P15" s="26"/>
    </row>
    <row r="16">
      <c r="A16" s="26"/>
      <c r="B16" s="44">
        <v>9.0</v>
      </c>
      <c r="C16" s="44" t="s">
        <v>36</v>
      </c>
      <c r="D16" s="45"/>
      <c r="E16" s="47"/>
      <c r="F16" s="49" t="s">
        <v>398</v>
      </c>
      <c r="G16" s="26"/>
      <c r="H16" s="26"/>
      <c r="I16" s="26"/>
      <c r="J16" s="26"/>
      <c r="K16" s="67" t="s">
        <v>73</v>
      </c>
      <c r="L16" s="67" t="s">
        <v>4</v>
      </c>
      <c r="M16" s="67" t="s">
        <v>36</v>
      </c>
      <c r="N16" s="66"/>
      <c r="O16" s="26"/>
      <c r="P16" s="26"/>
    </row>
    <row r="17">
      <c r="A17" s="26"/>
      <c r="B17" s="44">
        <v>10.0</v>
      </c>
      <c r="C17" s="44" t="s">
        <v>36</v>
      </c>
      <c r="D17" s="45"/>
      <c r="E17" s="47"/>
      <c r="F17" s="49" t="s">
        <v>400</v>
      </c>
      <c r="G17" s="26"/>
      <c r="H17" s="26"/>
      <c r="I17" s="26"/>
      <c r="J17" s="26"/>
      <c r="K17" s="67" t="s">
        <v>75</v>
      </c>
      <c r="L17" s="69">
        <f>L8</f>
        <v>0</v>
      </c>
      <c r="M17" s="69">
        <f>L9</f>
        <v>15</v>
      </c>
      <c r="N17" s="66"/>
      <c r="O17" s="26"/>
      <c r="P17" s="26"/>
    </row>
    <row r="18">
      <c r="A18" s="26"/>
      <c r="B18" s="44">
        <v>11.0</v>
      </c>
      <c r="C18" s="44" t="s">
        <v>36</v>
      </c>
      <c r="D18" s="45"/>
      <c r="E18" s="47"/>
      <c r="F18" s="49" t="s">
        <v>403</v>
      </c>
      <c r="G18" s="26"/>
      <c r="H18" s="26"/>
      <c r="I18" s="26"/>
      <c r="J18" s="26"/>
      <c r="K18" s="169"/>
      <c r="L18" s="56"/>
      <c r="M18" s="56"/>
      <c r="N18" s="66"/>
      <c r="O18" s="26"/>
      <c r="P18" s="26"/>
    </row>
    <row r="19">
      <c r="A19" s="26"/>
      <c r="B19" s="44">
        <v>12.0</v>
      </c>
      <c r="C19" s="44" t="s">
        <v>36</v>
      </c>
      <c r="D19" s="45"/>
      <c r="E19" s="47"/>
      <c r="F19" s="49" t="s">
        <v>406</v>
      </c>
      <c r="G19" s="26"/>
      <c r="H19" s="26"/>
      <c r="I19" s="26"/>
      <c r="J19" s="26"/>
      <c r="K19" s="169"/>
      <c r="L19" s="56"/>
      <c r="M19" s="56"/>
      <c r="N19" s="66"/>
      <c r="O19" s="26"/>
      <c r="P19" s="26"/>
    </row>
    <row r="20">
      <c r="A20" s="26"/>
      <c r="B20" s="44">
        <v>13.0</v>
      </c>
      <c r="C20" s="44" t="s">
        <v>36</v>
      </c>
      <c r="D20" s="45"/>
      <c r="E20" s="47"/>
      <c r="F20" s="49" t="s">
        <v>408</v>
      </c>
      <c r="G20" s="26"/>
      <c r="H20" s="26"/>
      <c r="I20" s="26"/>
      <c r="J20" s="26"/>
      <c r="K20" s="169"/>
      <c r="L20" s="56"/>
      <c r="M20" s="56"/>
      <c r="N20" s="66"/>
      <c r="O20" s="26"/>
      <c r="P20" s="26"/>
    </row>
    <row r="21">
      <c r="A21" s="26"/>
      <c r="B21" s="44">
        <v>14.0</v>
      </c>
      <c r="C21" s="44" t="s">
        <v>36</v>
      </c>
      <c r="D21" s="45"/>
      <c r="E21" s="47"/>
      <c r="F21" s="49" t="s">
        <v>410</v>
      </c>
      <c r="G21" s="26"/>
      <c r="H21" s="26"/>
      <c r="I21" s="26"/>
      <c r="J21" s="26"/>
      <c r="K21" s="169"/>
      <c r="L21" s="56"/>
      <c r="M21" s="56"/>
      <c r="N21" s="66"/>
      <c r="O21" s="26"/>
      <c r="P21" s="26"/>
    </row>
    <row r="22">
      <c r="A22" s="26"/>
      <c r="B22" s="44">
        <v>15.0</v>
      </c>
      <c r="C22" s="44" t="s">
        <v>36</v>
      </c>
      <c r="D22" s="45"/>
      <c r="E22" s="47"/>
      <c r="F22" s="49" t="s">
        <v>412</v>
      </c>
      <c r="G22" s="26"/>
      <c r="H22" s="26"/>
      <c r="I22" s="26"/>
      <c r="J22" s="26"/>
      <c r="K22" s="169"/>
      <c r="L22" s="56"/>
      <c r="M22" s="56"/>
      <c r="N22" s="66"/>
      <c r="O22" s="26"/>
      <c r="P22" s="26"/>
    </row>
  </sheetData>
  <conditionalFormatting sqref="C8:C22">
    <cfRule type="cellIs" dxfId="5" priority="1" stopIfTrue="1" operator="equal">
      <formula>"Completed"</formula>
    </cfRule>
  </conditionalFormatting>
  <conditionalFormatting sqref="C8:C22">
    <cfRule type="cellIs" dxfId="6" priority="2" stopIfTrue="1" operator="equal">
      <formula>"Pending"</formula>
    </cfRule>
  </conditionalFormatting>
  <conditionalFormatting sqref="C8:C22">
    <cfRule type="cellIs" dxfId="7" priority="3" stopIfTrue="1" operator="equal">
      <formula>"Revisit"</formula>
    </cfRule>
  </conditionalFormatting>
  <dataValidations>
    <dataValidation type="list" allowBlank="1" showErrorMessage="1" sqref="C8:C22">
      <formula1>"Completed,Pending"</formula1>
    </dataValidation>
    <dataValidation type="custom" allowBlank="1" showErrorMessage="1" sqref="D8:D22">
      <formula1>OR(NOT(ISERROR(DATEVALUE(D8))), AND(ISNUMBER(D8), LEFT(CELL("format", D8))="D"))</formula1>
    </dataValidation>
  </dataValidations>
  <hyperlinks>
    <hyperlink r:id="rId1" ref="F8"/>
    <hyperlink r:id="rId2" ref="F9"/>
    <hyperlink r:id="rId3" ref="F10"/>
    <hyperlink r:id="rId4" ref="F11"/>
    <hyperlink r:id="rId5" ref="F12"/>
    <hyperlink r:id="rId6" ref="F13"/>
    <hyperlink r:id="rId7" ref="F14"/>
    <hyperlink r:id="rId8" ref="F15"/>
    <hyperlink r:id="rId9" ref="F16"/>
    <hyperlink r:id="rId10" ref="F17"/>
    <hyperlink r:id="rId11" ref="F18"/>
    <hyperlink r:id="rId12" ref="F19"/>
    <hyperlink r:id="rId13" ref="F20"/>
    <hyperlink r:id="rId14" ref="F21"/>
    <hyperlink r:id="rId15" ref="F22"/>
  </hyperlinks>
  <drawing r:id="rId16"/>
  <tableParts count="1">
    <tablePart r:id="rId18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9.13"/>
    <col customWidth="1" min="2" max="2" width="11.13"/>
  </cols>
  <sheetData>
    <row r="1">
      <c r="A1" s="127" t="str">
        <f>IFERROR(__xludf.DUMMYFUNCTION("QUERY({ 'Sri Rudram Tracker'!B5:F36, ARRAYFORMULA(TO_PURE_NUMBER('Sri Rudram Tracker'!G5:G36)) }, ""SELECT Col3, SUM(Col6)*24 WHERE Col3 IS NOT NULL GROUP BY Col3 LABEL Col3 'Date', SUM(Col6)*24 'Hours per Day'"", 1)"),"Date")</f>
        <v>Date</v>
      </c>
      <c r="B1" s="168" t="str">
        <f>IFERROR(__xludf.DUMMYFUNCTION("""COMPUTED_VALUE"""),"Hours per Day")</f>
        <v>Hours per Day</v>
      </c>
    </row>
    <row r="2">
      <c r="A2" s="127">
        <f>IFERROR(__xludf.DUMMYFUNCTION("""COMPUTED_VALUE"""),46216.0)</f>
        <v>46216</v>
      </c>
      <c r="B2" s="168">
        <f>IFERROR(__xludf.DUMMYFUNCTION("""COMPUTED_VALUE"""),0.5072222222222208)</f>
        <v>0.5072222222</v>
      </c>
    </row>
    <row r="3">
      <c r="A3" s="127">
        <f>IFERROR(__xludf.DUMMYFUNCTION("""COMPUTED_VALUE"""),46217.0)</f>
        <v>46217</v>
      </c>
      <c r="B3" s="168">
        <f>IFERROR(__xludf.DUMMYFUNCTION("""COMPUTED_VALUE"""),0.9988888888888872)</f>
        <v>0.9988888889</v>
      </c>
    </row>
    <row r="4">
      <c r="A4" s="127">
        <f>IFERROR(__xludf.DUMMYFUNCTION("""COMPUTED_VALUE"""),46218.0)</f>
        <v>46218</v>
      </c>
      <c r="B4" s="168">
        <f>IFERROR(__xludf.DUMMYFUNCTION("""COMPUTED_VALUE"""),1.8833333333333302)</f>
        <v>1.883333333</v>
      </c>
    </row>
    <row r="5">
      <c r="A5" s="127">
        <f>IFERROR(__xludf.DUMMYFUNCTION("""COMPUTED_VALUE"""),46220.0)</f>
        <v>46220</v>
      </c>
      <c r="B5" s="168">
        <f>IFERROR(__xludf.DUMMYFUNCTION("""COMPUTED_VALUE"""),1.8758333333333277)</f>
        <v>1.875833333</v>
      </c>
    </row>
    <row r="6">
      <c r="A6" s="127">
        <f>IFERROR(__xludf.DUMMYFUNCTION("""COMPUTED_VALUE"""),46221.0)</f>
        <v>46221</v>
      </c>
      <c r="B6" s="168">
        <f>IFERROR(__xludf.DUMMYFUNCTION("""COMPUTED_VALUE"""),1.7822222222222184)</f>
        <v>1.782222222</v>
      </c>
    </row>
    <row r="7">
      <c r="A7" s="127">
        <f>IFERROR(__xludf.DUMMYFUNCTION("""COMPUTED_VALUE"""),46228.0)</f>
        <v>46228</v>
      </c>
      <c r="B7" s="168">
        <f>IFERROR(__xludf.DUMMYFUNCTION("""COMPUTED_VALUE"""),1.7699999999999976)</f>
        <v>1.77</v>
      </c>
    </row>
    <row r="8">
      <c r="A8" s="127">
        <f>IFERROR(__xludf.DUMMYFUNCTION("""COMPUTED_VALUE"""),46229.0)</f>
        <v>46229</v>
      </c>
      <c r="B8" s="168">
        <f>IFERROR(__xludf.DUMMYFUNCTION("""COMPUTED_VALUE"""),0.9894444444444432)</f>
        <v>0.9894444444</v>
      </c>
    </row>
    <row r="9">
      <c r="A9" s="127">
        <f>IFERROR(__xludf.DUMMYFUNCTION("""COMPUTED_VALUE"""),46231.0)</f>
        <v>46231</v>
      </c>
      <c r="B9" s="168">
        <f>IFERROR(__xludf.DUMMYFUNCTION("""COMPUTED_VALUE"""),0.8566666666666657)</f>
        <v>0.8566666667</v>
      </c>
    </row>
    <row r="10">
      <c r="A10" s="127">
        <f>IFERROR(__xludf.DUMMYFUNCTION("""COMPUTED_VALUE"""),46244.0)</f>
        <v>46244</v>
      </c>
      <c r="B10" s="168">
        <f>IFERROR(__xludf.DUMMYFUNCTION("""COMPUTED_VALUE"""),1.4972222222222182)</f>
        <v>1.497222222</v>
      </c>
    </row>
    <row r="11">
      <c r="A11" s="127">
        <f>IFERROR(__xludf.DUMMYFUNCTION("""COMPUTED_VALUE"""),46246.0)</f>
        <v>46246</v>
      </c>
      <c r="B11" s="168">
        <f>IFERROR(__xludf.DUMMYFUNCTION("""COMPUTED_VALUE"""),0.7324999999999978)</f>
        <v>0.7325</v>
      </c>
    </row>
    <row r="12">
      <c r="A12" s="127"/>
      <c r="B12" s="168"/>
    </row>
    <row r="13">
      <c r="A13" s="127"/>
      <c r="B13" s="168"/>
    </row>
    <row r="14">
      <c r="A14" s="127"/>
      <c r="B14" s="168"/>
    </row>
    <row r="15">
      <c r="A15" s="127"/>
      <c r="B15" s="168"/>
    </row>
    <row r="16">
      <c r="A16" s="127"/>
      <c r="B16" s="168"/>
    </row>
    <row r="17">
      <c r="A17" s="127"/>
      <c r="B17" s="168"/>
    </row>
    <row r="18">
      <c r="A18" s="127"/>
      <c r="B18" s="168"/>
    </row>
    <row r="19">
      <c r="A19" s="127"/>
      <c r="B19" s="168"/>
    </row>
    <row r="20">
      <c r="A20" s="127"/>
      <c r="B20" s="168"/>
    </row>
    <row r="21">
      <c r="A21" s="127"/>
      <c r="B21" s="168"/>
    </row>
    <row r="22">
      <c r="A22" s="127"/>
      <c r="B22" s="168"/>
    </row>
    <row r="23">
      <c r="A23" s="127"/>
      <c r="B23" s="168"/>
    </row>
    <row r="24">
      <c r="A24" s="127"/>
      <c r="B24" s="168"/>
    </row>
    <row r="25">
      <c r="A25" s="127"/>
      <c r="B25" s="168"/>
    </row>
    <row r="26">
      <c r="A26" s="127"/>
      <c r="B26" s="168"/>
    </row>
    <row r="27">
      <c r="A27" s="127"/>
      <c r="B27" s="168"/>
    </row>
    <row r="28">
      <c r="A28" s="127"/>
      <c r="B28" s="168"/>
    </row>
    <row r="29">
      <c r="A29" s="127"/>
      <c r="B29" s="168"/>
    </row>
    <row r="30">
      <c r="A30" s="127"/>
      <c r="B30" s="168"/>
    </row>
    <row r="31">
      <c r="A31" s="127"/>
      <c r="B31" s="168"/>
    </row>
    <row r="32">
      <c r="A32" s="127"/>
      <c r="B32" s="168"/>
    </row>
    <row r="33">
      <c r="A33" s="127"/>
      <c r="B33" s="168"/>
    </row>
    <row r="34">
      <c r="A34" s="127"/>
      <c r="B34" s="168"/>
    </row>
    <row r="35">
      <c r="A35" s="127"/>
      <c r="B35" s="168"/>
    </row>
    <row r="36">
      <c r="A36" s="127"/>
      <c r="B36" s="168"/>
    </row>
    <row r="37">
      <c r="A37" s="127"/>
      <c r="B37" s="168"/>
    </row>
    <row r="38">
      <c r="A38" s="127"/>
      <c r="B38" s="168"/>
    </row>
    <row r="39">
      <c r="A39" s="127"/>
      <c r="B39" s="168"/>
    </row>
    <row r="40">
      <c r="A40" s="127"/>
      <c r="B40" s="168"/>
    </row>
    <row r="41">
      <c r="A41" s="127"/>
      <c r="B41" s="168"/>
    </row>
    <row r="42">
      <c r="A42" s="127"/>
      <c r="B42" s="168"/>
    </row>
    <row r="43">
      <c r="A43" s="127"/>
      <c r="B43" s="168"/>
    </row>
    <row r="44">
      <c r="A44" s="127"/>
      <c r="B44" s="168"/>
    </row>
    <row r="45">
      <c r="A45" s="127"/>
      <c r="B45" s="168"/>
    </row>
    <row r="46">
      <c r="A46" s="127"/>
      <c r="B46" s="168"/>
    </row>
    <row r="47">
      <c r="A47" s="127"/>
      <c r="B47" s="168"/>
    </row>
    <row r="48">
      <c r="A48" s="127"/>
      <c r="B48" s="168"/>
    </row>
    <row r="49">
      <c r="A49" s="127"/>
      <c r="B49" s="168"/>
    </row>
    <row r="50">
      <c r="A50" s="127"/>
      <c r="B50" s="168"/>
    </row>
    <row r="51">
      <c r="A51" s="127"/>
      <c r="B51" s="168"/>
    </row>
    <row r="52">
      <c r="A52" s="127"/>
      <c r="B52" s="168"/>
    </row>
    <row r="53">
      <c r="A53" s="127"/>
      <c r="B53" s="168"/>
    </row>
    <row r="54">
      <c r="A54" s="127"/>
      <c r="B54" s="168"/>
    </row>
    <row r="55">
      <c r="A55" s="127"/>
      <c r="B55" s="168"/>
    </row>
    <row r="56">
      <c r="A56" s="127"/>
      <c r="B56" s="168"/>
    </row>
    <row r="57">
      <c r="A57" s="127"/>
      <c r="B57" s="168"/>
    </row>
    <row r="58">
      <c r="A58" s="127"/>
      <c r="B58" s="168"/>
    </row>
    <row r="59">
      <c r="A59" s="127"/>
      <c r="B59" s="168"/>
    </row>
    <row r="60">
      <c r="A60" s="127"/>
      <c r="B60" s="168"/>
    </row>
    <row r="61">
      <c r="A61" s="127"/>
      <c r="B61" s="168"/>
    </row>
    <row r="62">
      <c r="A62" s="127"/>
      <c r="B62" s="168"/>
    </row>
    <row r="63">
      <c r="A63" s="127"/>
      <c r="B63" s="168"/>
    </row>
    <row r="64">
      <c r="A64" s="127"/>
      <c r="B64" s="168"/>
    </row>
    <row r="65">
      <c r="A65" s="127"/>
      <c r="B65" s="168"/>
    </row>
    <row r="66">
      <c r="A66" s="127"/>
      <c r="B66" s="168"/>
    </row>
    <row r="67">
      <c r="A67" s="127"/>
      <c r="B67" s="168"/>
    </row>
    <row r="68">
      <c r="A68" s="127"/>
      <c r="B68" s="168"/>
    </row>
    <row r="69">
      <c r="A69" s="127"/>
      <c r="B69" s="168"/>
    </row>
    <row r="70">
      <c r="A70" s="127"/>
      <c r="B70" s="168"/>
    </row>
    <row r="71">
      <c r="A71" s="127"/>
      <c r="B71" s="168"/>
    </row>
    <row r="72">
      <c r="A72" s="127"/>
      <c r="B72" s="168"/>
    </row>
    <row r="73">
      <c r="A73" s="127"/>
      <c r="B73" s="168"/>
    </row>
    <row r="74">
      <c r="A74" s="127"/>
      <c r="B74" s="168"/>
    </row>
    <row r="75">
      <c r="A75" s="127"/>
      <c r="B75" s="168"/>
    </row>
    <row r="76">
      <c r="A76" s="127"/>
      <c r="B76" s="168"/>
    </row>
    <row r="77">
      <c r="A77" s="127"/>
      <c r="B77" s="168"/>
    </row>
    <row r="78">
      <c r="A78" s="127"/>
      <c r="B78" s="168"/>
    </row>
    <row r="79">
      <c r="A79" s="127"/>
      <c r="B79" s="168"/>
    </row>
    <row r="80">
      <c r="A80" s="127"/>
      <c r="B80" s="168"/>
    </row>
    <row r="81">
      <c r="A81" s="127"/>
      <c r="B81" s="168"/>
    </row>
    <row r="82">
      <c r="A82" s="127"/>
      <c r="B82" s="168"/>
    </row>
    <row r="83">
      <c r="A83" s="127"/>
      <c r="B83" s="168"/>
    </row>
    <row r="84">
      <c r="A84" s="127"/>
      <c r="B84" s="168"/>
    </row>
    <row r="85">
      <c r="A85" s="127"/>
      <c r="B85" s="168"/>
    </row>
    <row r="86">
      <c r="A86" s="127"/>
      <c r="B86" s="168"/>
    </row>
    <row r="87">
      <c r="A87" s="127"/>
      <c r="B87" s="168"/>
    </row>
    <row r="88">
      <c r="A88" s="127"/>
      <c r="B88" s="168"/>
    </row>
    <row r="89">
      <c r="A89" s="127"/>
      <c r="B89" s="168"/>
    </row>
    <row r="90">
      <c r="A90" s="127"/>
      <c r="B90" s="168"/>
    </row>
    <row r="91">
      <c r="A91" s="127"/>
      <c r="B91" s="168"/>
    </row>
    <row r="92">
      <c r="A92" s="127"/>
      <c r="B92" s="168"/>
    </row>
    <row r="93">
      <c r="A93" s="127"/>
      <c r="B93" s="168"/>
    </row>
    <row r="94">
      <c r="A94" s="127"/>
      <c r="B94" s="168"/>
    </row>
    <row r="95">
      <c r="A95" s="127"/>
      <c r="B95" s="168"/>
    </row>
    <row r="96">
      <c r="A96" s="127"/>
      <c r="B96" s="168"/>
    </row>
    <row r="97">
      <c r="A97" s="127"/>
      <c r="B97" s="168"/>
    </row>
    <row r="98">
      <c r="A98" s="127"/>
      <c r="B98" s="168"/>
    </row>
    <row r="99">
      <c r="A99" s="127"/>
      <c r="B99" s="168"/>
    </row>
    <row r="100">
      <c r="A100" s="127"/>
      <c r="B100" s="168"/>
    </row>
    <row r="101">
      <c r="A101" s="127"/>
      <c r="B101" s="168"/>
    </row>
    <row r="102">
      <c r="A102" s="127"/>
      <c r="B102" s="168"/>
    </row>
    <row r="103">
      <c r="A103" s="127"/>
      <c r="B103" s="168"/>
    </row>
    <row r="104">
      <c r="A104" s="127"/>
      <c r="B104" s="168"/>
    </row>
    <row r="105">
      <c r="A105" s="127"/>
      <c r="B105" s="168"/>
    </row>
    <row r="106">
      <c r="A106" s="127"/>
      <c r="B106" s="168"/>
    </row>
    <row r="107">
      <c r="A107" s="127"/>
      <c r="B107" s="168"/>
    </row>
    <row r="108">
      <c r="A108" s="127"/>
      <c r="B108" s="168"/>
    </row>
    <row r="109">
      <c r="A109" s="127"/>
      <c r="B109" s="168"/>
    </row>
    <row r="110">
      <c r="A110" s="127"/>
      <c r="B110" s="168"/>
    </row>
    <row r="111">
      <c r="A111" s="127"/>
      <c r="B111" s="168"/>
    </row>
    <row r="112">
      <c r="A112" s="127"/>
      <c r="B112" s="168"/>
    </row>
    <row r="113">
      <c r="A113" s="127"/>
      <c r="B113" s="168"/>
    </row>
    <row r="114">
      <c r="A114" s="127"/>
      <c r="B114" s="168"/>
    </row>
    <row r="115">
      <c r="A115" s="127"/>
      <c r="B115" s="168"/>
    </row>
    <row r="116">
      <c r="A116" s="127"/>
      <c r="B116" s="168"/>
    </row>
    <row r="117">
      <c r="A117" s="127"/>
      <c r="B117" s="168"/>
    </row>
    <row r="118">
      <c r="A118" s="127"/>
      <c r="B118" s="168"/>
    </row>
    <row r="119">
      <c r="A119" s="127"/>
      <c r="B119" s="168"/>
    </row>
    <row r="120">
      <c r="A120" s="127"/>
      <c r="B120" s="168"/>
    </row>
    <row r="121">
      <c r="A121" s="127"/>
      <c r="B121" s="168"/>
    </row>
    <row r="122">
      <c r="A122" s="127"/>
      <c r="B122" s="168"/>
    </row>
    <row r="123">
      <c r="A123" s="127"/>
      <c r="B123" s="168"/>
    </row>
    <row r="124">
      <c r="A124" s="127"/>
      <c r="B124" s="168"/>
    </row>
    <row r="125">
      <c r="A125" s="127"/>
      <c r="B125" s="168"/>
    </row>
    <row r="126">
      <c r="A126" s="127"/>
      <c r="B126" s="168"/>
    </row>
    <row r="127">
      <c r="A127" s="127"/>
      <c r="B127" s="168"/>
    </row>
    <row r="128">
      <c r="A128" s="127"/>
      <c r="B128" s="168"/>
    </row>
    <row r="129">
      <c r="A129" s="127"/>
      <c r="B129" s="168"/>
    </row>
    <row r="130">
      <c r="A130" s="127"/>
      <c r="B130" s="168"/>
    </row>
    <row r="131">
      <c r="A131" s="127"/>
      <c r="B131" s="168"/>
    </row>
    <row r="132">
      <c r="A132" s="127"/>
      <c r="B132" s="168"/>
    </row>
    <row r="133">
      <c r="A133" s="127"/>
      <c r="B133" s="168"/>
    </row>
    <row r="134">
      <c r="A134" s="127"/>
      <c r="B134" s="168"/>
    </row>
    <row r="135">
      <c r="A135" s="127"/>
      <c r="B135" s="168"/>
    </row>
    <row r="136">
      <c r="A136" s="127"/>
      <c r="B136" s="168"/>
    </row>
    <row r="137">
      <c r="A137" s="127"/>
      <c r="B137" s="168"/>
    </row>
    <row r="138">
      <c r="A138" s="127"/>
      <c r="B138" s="168"/>
    </row>
    <row r="139">
      <c r="A139" s="127"/>
      <c r="B139" s="168"/>
    </row>
    <row r="140">
      <c r="A140" s="127"/>
      <c r="B140" s="168"/>
    </row>
    <row r="141">
      <c r="A141" s="127"/>
      <c r="B141" s="168"/>
    </row>
    <row r="142">
      <c r="A142" s="127"/>
      <c r="B142" s="168"/>
    </row>
    <row r="143">
      <c r="A143" s="127"/>
      <c r="B143" s="168"/>
    </row>
    <row r="144">
      <c r="A144" s="127"/>
      <c r="B144" s="168"/>
    </row>
    <row r="145">
      <c r="A145" s="127"/>
      <c r="B145" s="168"/>
    </row>
    <row r="146">
      <c r="A146" s="127"/>
      <c r="B146" s="168"/>
    </row>
    <row r="147">
      <c r="A147" s="127"/>
      <c r="B147" s="168"/>
    </row>
    <row r="148">
      <c r="A148" s="127"/>
      <c r="B148" s="168"/>
    </row>
    <row r="149">
      <c r="A149" s="127"/>
      <c r="B149" s="168"/>
    </row>
    <row r="150">
      <c r="A150" s="127"/>
      <c r="B150" s="168"/>
    </row>
    <row r="151">
      <c r="A151" s="127"/>
      <c r="B151" s="168"/>
    </row>
    <row r="152">
      <c r="A152" s="127"/>
      <c r="B152" s="168"/>
    </row>
    <row r="153">
      <c r="A153" s="127"/>
      <c r="B153" s="168"/>
    </row>
    <row r="154">
      <c r="A154" s="127"/>
      <c r="B154" s="168"/>
    </row>
    <row r="155">
      <c r="A155" s="127"/>
      <c r="B155" s="168"/>
    </row>
    <row r="156">
      <c r="A156" s="127"/>
      <c r="B156" s="168"/>
    </row>
    <row r="157">
      <c r="A157" s="127"/>
      <c r="B157" s="168"/>
    </row>
    <row r="158">
      <c r="A158" s="127"/>
      <c r="B158" s="168"/>
    </row>
    <row r="159">
      <c r="A159" s="127"/>
      <c r="B159" s="168"/>
    </row>
    <row r="160">
      <c r="A160" s="127"/>
      <c r="B160" s="168"/>
    </row>
    <row r="161">
      <c r="A161" s="127"/>
      <c r="B161" s="168"/>
    </row>
    <row r="162">
      <c r="A162" s="127"/>
      <c r="B162" s="168"/>
    </row>
    <row r="163">
      <c r="A163" s="127"/>
      <c r="B163" s="168"/>
    </row>
    <row r="164">
      <c r="A164" s="127"/>
      <c r="B164" s="168"/>
    </row>
    <row r="165">
      <c r="A165" s="127"/>
      <c r="B165" s="168"/>
    </row>
    <row r="166">
      <c r="A166" s="127"/>
      <c r="B166" s="168"/>
    </row>
    <row r="167">
      <c r="A167" s="127"/>
      <c r="B167" s="168"/>
    </row>
    <row r="168">
      <c r="A168" s="127"/>
      <c r="B168" s="168"/>
    </row>
    <row r="169">
      <c r="A169" s="127"/>
      <c r="B169" s="168"/>
    </row>
    <row r="170">
      <c r="A170" s="127"/>
      <c r="B170" s="168"/>
    </row>
    <row r="171">
      <c r="A171" s="127"/>
      <c r="B171" s="168"/>
    </row>
    <row r="172">
      <c r="A172" s="127"/>
      <c r="B172" s="168"/>
    </row>
    <row r="173">
      <c r="A173" s="127"/>
      <c r="B173" s="168"/>
    </row>
    <row r="174">
      <c r="A174" s="127"/>
      <c r="B174" s="168"/>
    </row>
    <row r="175">
      <c r="A175" s="127"/>
      <c r="B175" s="168"/>
    </row>
    <row r="176">
      <c r="A176" s="127"/>
      <c r="B176" s="168"/>
    </row>
    <row r="177">
      <c r="A177" s="127"/>
      <c r="B177" s="168"/>
    </row>
    <row r="178">
      <c r="A178" s="127"/>
      <c r="B178" s="168"/>
    </row>
    <row r="179">
      <c r="A179" s="127"/>
      <c r="B179" s="168"/>
    </row>
    <row r="180">
      <c r="A180" s="127"/>
      <c r="B180" s="168"/>
    </row>
    <row r="181">
      <c r="A181" s="127"/>
      <c r="B181" s="168"/>
    </row>
    <row r="182">
      <c r="A182" s="127"/>
      <c r="B182" s="168"/>
    </row>
    <row r="183">
      <c r="A183" s="127"/>
      <c r="B183" s="168"/>
    </row>
    <row r="184">
      <c r="A184" s="127"/>
      <c r="B184" s="168"/>
    </row>
    <row r="185">
      <c r="A185" s="127"/>
      <c r="B185" s="168"/>
    </row>
    <row r="186">
      <c r="A186" s="127"/>
      <c r="B186" s="168"/>
    </row>
    <row r="187">
      <c r="A187" s="127"/>
      <c r="B187" s="168"/>
    </row>
    <row r="188">
      <c r="A188" s="127"/>
      <c r="B188" s="168"/>
    </row>
    <row r="189">
      <c r="A189" s="127"/>
      <c r="B189" s="168"/>
    </row>
    <row r="190">
      <c r="A190" s="127"/>
      <c r="B190" s="168"/>
    </row>
    <row r="191">
      <c r="A191" s="127"/>
      <c r="B191" s="168"/>
    </row>
    <row r="192">
      <c r="A192" s="127"/>
      <c r="B192" s="168"/>
    </row>
    <row r="193">
      <c r="A193" s="127"/>
      <c r="B193" s="168"/>
    </row>
    <row r="194">
      <c r="A194" s="127"/>
      <c r="B194" s="168"/>
    </row>
    <row r="195">
      <c r="A195" s="127"/>
      <c r="B195" s="168"/>
    </row>
    <row r="196">
      <c r="A196" s="127"/>
      <c r="B196" s="168"/>
    </row>
    <row r="197">
      <c r="A197" s="127"/>
      <c r="B197" s="168"/>
    </row>
    <row r="198">
      <c r="A198" s="127"/>
      <c r="B198" s="168"/>
    </row>
    <row r="199">
      <c r="A199" s="127"/>
      <c r="B199" s="168"/>
    </row>
    <row r="200">
      <c r="A200" s="127"/>
      <c r="B200" s="168"/>
    </row>
    <row r="201">
      <c r="A201" s="127"/>
      <c r="B201" s="168"/>
    </row>
    <row r="202">
      <c r="A202" s="127"/>
      <c r="B202" s="168"/>
    </row>
    <row r="203">
      <c r="A203" s="127"/>
      <c r="B203" s="168"/>
    </row>
    <row r="204">
      <c r="A204" s="127"/>
      <c r="B204" s="168"/>
    </row>
    <row r="205">
      <c r="A205" s="127"/>
      <c r="B205" s="168"/>
    </row>
    <row r="206">
      <c r="A206" s="127"/>
      <c r="B206" s="168"/>
    </row>
    <row r="207">
      <c r="A207" s="127"/>
      <c r="B207" s="168"/>
    </row>
    <row r="208">
      <c r="A208" s="127"/>
      <c r="B208" s="168"/>
    </row>
    <row r="209">
      <c r="A209" s="127"/>
      <c r="B209" s="168"/>
    </row>
    <row r="210">
      <c r="A210" s="127"/>
      <c r="B210" s="168"/>
    </row>
    <row r="211">
      <c r="A211" s="127"/>
      <c r="B211" s="168"/>
    </row>
    <row r="212">
      <c r="A212" s="127"/>
      <c r="B212" s="168"/>
    </row>
    <row r="213">
      <c r="A213" s="127"/>
      <c r="B213" s="168"/>
    </row>
    <row r="214">
      <c r="A214" s="127"/>
      <c r="B214" s="168"/>
    </row>
    <row r="215">
      <c r="A215" s="127"/>
      <c r="B215" s="168"/>
    </row>
    <row r="216">
      <c r="A216" s="127"/>
      <c r="B216" s="168"/>
    </row>
    <row r="217">
      <c r="A217" s="127"/>
      <c r="B217" s="168"/>
    </row>
    <row r="218">
      <c r="A218" s="127"/>
      <c r="B218" s="168"/>
    </row>
    <row r="219">
      <c r="A219" s="127"/>
      <c r="B219" s="168"/>
    </row>
    <row r="220">
      <c r="A220" s="127"/>
      <c r="B220" s="168"/>
    </row>
    <row r="221">
      <c r="A221" s="127"/>
      <c r="B221" s="168"/>
    </row>
    <row r="222">
      <c r="A222" s="127"/>
      <c r="B222" s="168"/>
    </row>
    <row r="223">
      <c r="A223" s="127"/>
      <c r="B223" s="168"/>
    </row>
    <row r="224">
      <c r="A224" s="127"/>
      <c r="B224" s="168"/>
    </row>
    <row r="225">
      <c r="A225" s="127"/>
      <c r="B225" s="168"/>
    </row>
    <row r="226">
      <c r="A226" s="127"/>
      <c r="B226" s="168"/>
    </row>
    <row r="227">
      <c r="A227" s="127"/>
      <c r="B227" s="168"/>
    </row>
    <row r="228">
      <c r="A228" s="127"/>
      <c r="B228" s="168"/>
    </row>
    <row r="229">
      <c r="A229" s="127"/>
      <c r="B229" s="168"/>
    </row>
    <row r="230">
      <c r="A230" s="127"/>
      <c r="B230" s="168"/>
    </row>
    <row r="231">
      <c r="A231" s="127"/>
      <c r="B231" s="168"/>
    </row>
    <row r="232">
      <c r="A232" s="127"/>
      <c r="B232" s="168"/>
    </row>
    <row r="233">
      <c r="A233" s="127"/>
      <c r="B233" s="168"/>
    </row>
    <row r="234">
      <c r="A234" s="127"/>
      <c r="B234" s="168"/>
    </row>
    <row r="235">
      <c r="A235" s="127"/>
      <c r="B235" s="168"/>
    </row>
    <row r="236">
      <c r="A236" s="127"/>
      <c r="B236" s="168"/>
    </row>
    <row r="237">
      <c r="A237" s="127"/>
      <c r="B237" s="168"/>
    </row>
    <row r="238">
      <c r="A238" s="127"/>
      <c r="B238" s="168"/>
    </row>
    <row r="239">
      <c r="A239" s="127"/>
      <c r="B239" s="168"/>
    </row>
    <row r="240">
      <c r="A240" s="127"/>
      <c r="B240" s="168"/>
    </row>
    <row r="241">
      <c r="A241" s="127"/>
      <c r="B241" s="168"/>
    </row>
    <row r="242">
      <c r="A242" s="127"/>
      <c r="B242" s="168"/>
    </row>
    <row r="243">
      <c r="A243" s="127"/>
      <c r="B243" s="168"/>
    </row>
    <row r="244">
      <c r="A244" s="127"/>
      <c r="B244" s="168"/>
    </row>
    <row r="245">
      <c r="A245" s="127"/>
      <c r="B245" s="168"/>
    </row>
    <row r="246">
      <c r="A246" s="127"/>
      <c r="B246" s="168"/>
    </row>
    <row r="247">
      <c r="A247" s="127"/>
      <c r="B247" s="168"/>
    </row>
    <row r="248">
      <c r="A248" s="127"/>
      <c r="B248" s="168"/>
    </row>
    <row r="249">
      <c r="A249" s="127"/>
      <c r="B249" s="168"/>
    </row>
    <row r="250">
      <c r="A250" s="127"/>
      <c r="B250" s="168"/>
    </row>
    <row r="251">
      <c r="A251" s="127"/>
      <c r="B251" s="168"/>
    </row>
    <row r="252">
      <c r="A252" s="127"/>
      <c r="B252" s="168"/>
    </row>
    <row r="253">
      <c r="A253" s="127"/>
      <c r="B253" s="168"/>
    </row>
    <row r="254">
      <c r="A254" s="127"/>
      <c r="B254" s="168"/>
    </row>
    <row r="255">
      <c r="A255" s="127"/>
      <c r="B255" s="168"/>
    </row>
    <row r="256">
      <c r="A256" s="127"/>
      <c r="B256" s="168"/>
    </row>
    <row r="257">
      <c r="A257" s="127"/>
      <c r="B257" s="168"/>
    </row>
    <row r="258">
      <c r="A258" s="127"/>
      <c r="B258" s="168"/>
    </row>
    <row r="259">
      <c r="A259" s="127"/>
      <c r="B259" s="168"/>
    </row>
    <row r="260">
      <c r="A260" s="127"/>
      <c r="B260" s="168"/>
    </row>
    <row r="261">
      <c r="A261" s="127"/>
      <c r="B261" s="168"/>
    </row>
    <row r="262">
      <c r="A262" s="127"/>
      <c r="B262" s="168"/>
    </row>
    <row r="263">
      <c r="A263" s="127"/>
      <c r="B263" s="168"/>
    </row>
    <row r="264">
      <c r="A264" s="127"/>
      <c r="B264" s="168"/>
    </row>
    <row r="265">
      <c r="A265" s="127"/>
      <c r="B265" s="168"/>
    </row>
    <row r="266">
      <c r="A266" s="127"/>
      <c r="B266" s="168"/>
    </row>
    <row r="267">
      <c r="A267" s="127"/>
      <c r="B267" s="168"/>
    </row>
    <row r="268">
      <c r="A268" s="127"/>
      <c r="B268" s="168"/>
    </row>
    <row r="269">
      <c r="A269" s="127"/>
      <c r="B269" s="168"/>
    </row>
    <row r="270">
      <c r="A270" s="127"/>
      <c r="B270" s="168"/>
    </row>
    <row r="271">
      <c r="A271" s="127"/>
      <c r="B271" s="168"/>
    </row>
    <row r="272">
      <c r="A272" s="127"/>
      <c r="B272" s="168"/>
    </row>
    <row r="273">
      <c r="A273" s="127"/>
      <c r="B273" s="168"/>
    </row>
    <row r="274">
      <c r="A274" s="127"/>
      <c r="B274" s="168"/>
    </row>
    <row r="275">
      <c r="A275" s="127"/>
      <c r="B275" s="168"/>
    </row>
    <row r="276">
      <c r="A276" s="127"/>
      <c r="B276" s="168"/>
    </row>
    <row r="277">
      <c r="A277" s="127"/>
      <c r="B277" s="168"/>
    </row>
    <row r="278">
      <c r="A278" s="127"/>
      <c r="B278" s="168"/>
    </row>
    <row r="279">
      <c r="A279" s="127"/>
      <c r="B279" s="168"/>
    </row>
    <row r="280">
      <c r="A280" s="127"/>
      <c r="B280" s="168"/>
    </row>
    <row r="281">
      <c r="A281" s="127"/>
      <c r="B281" s="168"/>
    </row>
    <row r="282">
      <c r="A282" s="127"/>
      <c r="B282" s="168"/>
    </row>
    <row r="283">
      <c r="A283" s="127"/>
      <c r="B283" s="168"/>
    </row>
    <row r="284">
      <c r="A284" s="127"/>
      <c r="B284" s="168"/>
    </row>
    <row r="285">
      <c r="A285" s="127"/>
      <c r="B285" s="168"/>
    </row>
    <row r="286">
      <c r="A286" s="127"/>
      <c r="B286" s="168"/>
    </row>
    <row r="287">
      <c r="A287" s="127"/>
      <c r="B287" s="168"/>
    </row>
    <row r="288">
      <c r="A288" s="127"/>
      <c r="B288" s="168"/>
    </row>
    <row r="289">
      <c r="A289" s="127"/>
      <c r="B289" s="168"/>
    </row>
    <row r="290">
      <c r="A290" s="127"/>
      <c r="B290" s="168"/>
    </row>
    <row r="291">
      <c r="A291" s="127"/>
      <c r="B291" s="168"/>
    </row>
    <row r="292">
      <c r="A292" s="127"/>
      <c r="B292" s="168"/>
    </row>
    <row r="293">
      <c r="A293" s="127"/>
      <c r="B293" s="168"/>
    </row>
    <row r="294">
      <c r="A294" s="127"/>
      <c r="B294" s="168"/>
    </row>
    <row r="295">
      <c r="A295" s="127"/>
      <c r="B295" s="168"/>
    </row>
    <row r="296">
      <c r="A296" s="127"/>
      <c r="B296" s="168"/>
    </row>
    <row r="297">
      <c r="A297" s="127"/>
      <c r="B297" s="168"/>
    </row>
    <row r="298">
      <c r="A298" s="127"/>
      <c r="B298" s="168"/>
    </row>
    <row r="299">
      <c r="A299" s="127"/>
      <c r="B299" s="168"/>
    </row>
    <row r="300">
      <c r="A300" s="127"/>
      <c r="B300" s="168"/>
    </row>
    <row r="301">
      <c r="A301" s="127"/>
      <c r="B301" s="168"/>
    </row>
    <row r="302">
      <c r="A302" s="127"/>
      <c r="B302" s="168"/>
    </row>
    <row r="303">
      <c r="A303" s="127"/>
      <c r="B303" s="168"/>
    </row>
    <row r="304">
      <c r="A304" s="127"/>
      <c r="B304" s="168"/>
    </row>
    <row r="305">
      <c r="A305" s="127"/>
      <c r="B305" s="168"/>
    </row>
    <row r="306">
      <c r="A306" s="127"/>
      <c r="B306" s="168"/>
    </row>
    <row r="307">
      <c r="A307" s="127"/>
      <c r="B307" s="168"/>
    </row>
    <row r="308">
      <c r="A308" s="127"/>
      <c r="B308" s="168"/>
    </row>
    <row r="309">
      <c r="A309" s="127"/>
      <c r="B309" s="168"/>
    </row>
    <row r="310">
      <c r="A310" s="127"/>
      <c r="B310" s="168"/>
    </row>
    <row r="311">
      <c r="A311" s="127"/>
      <c r="B311" s="168"/>
    </row>
    <row r="312">
      <c r="A312" s="127"/>
      <c r="B312" s="168"/>
    </row>
    <row r="313">
      <c r="A313" s="127"/>
      <c r="B313" s="168"/>
    </row>
    <row r="314">
      <c r="A314" s="127"/>
      <c r="B314" s="168"/>
    </row>
    <row r="315">
      <c r="A315" s="127"/>
      <c r="B315" s="168"/>
    </row>
    <row r="316">
      <c r="A316" s="127"/>
      <c r="B316" s="168"/>
    </row>
    <row r="317">
      <c r="A317" s="127"/>
      <c r="B317" s="168"/>
    </row>
    <row r="318">
      <c r="A318" s="127"/>
      <c r="B318" s="168"/>
    </row>
    <row r="319">
      <c r="A319" s="127"/>
      <c r="B319" s="168"/>
    </row>
    <row r="320">
      <c r="A320" s="127"/>
      <c r="B320" s="168"/>
    </row>
    <row r="321">
      <c r="A321" s="127"/>
      <c r="B321" s="168"/>
    </row>
    <row r="322">
      <c r="A322" s="127"/>
      <c r="B322" s="168"/>
    </row>
    <row r="323">
      <c r="A323" s="127"/>
      <c r="B323" s="168"/>
    </row>
    <row r="324">
      <c r="A324" s="127"/>
      <c r="B324" s="168"/>
    </row>
    <row r="325">
      <c r="A325" s="127"/>
      <c r="B325" s="168"/>
    </row>
    <row r="326">
      <c r="A326" s="127"/>
      <c r="B326" s="168"/>
    </row>
    <row r="327">
      <c r="A327" s="127"/>
      <c r="B327" s="168"/>
    </row>
    <row r="328">
      <c r="A328" s="127"/>
      <c r="B328" s="168"/>
    </row>
    <row r="329">
      <c r="A329" s="127"/>
      <c r="B329" s="168"/>
    </row>
    <row r="330">
      <c r="A330" s="127"/>
      <c r="B330" s="168"/>
    </row>
    <row r="331">
      <c r="A331" s="127"/>
      <c r="B331" s="168"/>
    </row>
    <row r="332">
      <c r="A332" s="127"/>
      <c r="B332" s="168"/>
    </row>
    <row r="333">
      <c r="A333" s="127"/>
      <c r="B333" s="168"/>
    </row>
    <row r="334">
      <c r="A334" s="127"/>
      <c r="B334" s="168"/>
    </row>
    <row r="335">
      <c r="A335" s="127"/>
      <c r="B335" s="168"/>
    </row>
    <row r="336">
      <c r="A336" s="127"/>
      <c r="B336" s="168"/>
    </row>
    <row r="337">
      <c r="A337" s="127"/>
      <c r="B337" s="168"/>
    </row>
    <row r="338">
      <c r="A338" s="127"/>
      <c r="B338" s="168"/>
    </row>
    <row r="339">
      <c r="A339" s="127"/>
      <c r="B339" s="168"/>
    </row>
    <row r="340">
      <c r="A340" s="127"/>
      <c r="B340" s="168"/>
    </row>
    <row r="341">
      <c r="A341" s="127"/>
      <c r="B341" s="168"/>
    </row>
    <row r="342">
      <c r="A342" s="127"/>
      <c r="B342" s="168"/>
    </row>
    <row r="343">
      <c r="A343" s="127"/>
      <c r="B343" s="168"/>
    </row>
    <row r="344">
      <c r="A344" s="127"/>
      <c r="B344" s="168"/>
    </row>
    <row r="345">
      <c r="A345" s="127"/>
      <c r="B345" s="168"/>
    </row>
    <row r="346">
      <c r="A346" s="127"/>
      <c r="B346" s="168"/>
    </row>
    <row r="347">
      <c r="A347" s="127"/>
      <c r="B347" s="168"/>
    </row>
    <row r="348">
      <c r="A348" s="127"/>
      <c r="B348" s="168"/>
    </row>
    <row r="349">
      <c r="A349" s="127"/>
      <c r="B349" s="168"/>
    </row>
    <row r="350">
      <c r="A350" s="127"/>
      <c r="B350" s="168"/>
    </row>
    <row r="351">
      <c r="A351" s="127"/>
      <c r="B351" s="168"/>
    </row>
    <row r="352">
      <c r="A352" s="127"/>
      <c r="B352" s="168"/>
    </row>
    <row r="353">
      <c r="A353" s="127"/>
      <c r="B353" s="168"/>
    </row>
    <row r="354">
      <c r="A354" s="127"/>
      <c r="B354" s="168"/>
    </row>
    <row r="355">
      <c r="A355" s="127"/>
      <c r="B355" s="168"/>
    </row>
    <row r="356">
      <c r="A356" s="127"/>
      <c r="B356" s="168"/>
    </row>
    <row r="357">
      <c r="A357" s="127"/>
      <c r="B357" s="168"/>
    </row>
    <row r="358">
      <c r="A358" s="127"/>
      <c r="B358" s="168"/>
    </row>
    <row r="359">
      <c r="A359" s="127"/>
      <c r="B359" s="168"/>
    </row>
    <row r="360">
      <c r="A360" s="127"/>
      <c r="B360" s="168"/>
    </row>
    <row r="361">
      <c r="A361" s="127"/>
      <c r="B361" s="168"/>
    </row>
    <row r="362">
      <c r="A362" s="127"/>
      <c r="B362" s="168"/>
    </row>
    <row r="363">
      <c r="A363" s="127"/>
      <c r="B363" s="168"/>
    </row>
    <row r="364">
      <c r="A364" s="127"/>
      <c r="B364" s="168"/>
    </row>
    <row r="365">
      <c r="A365" s="127"/>
      <c r="B365" s="168"/>
    </row>
    <row r="366">
      <c r="A366" s="127"/>
      <c r="B366" s="168"/>
    </row>
    <row r="367">
      <c r="A367" s="127"/>
      <c r="B367" s="168"/>
    </row>
    <row r="368">
      <c r="A368" s="127"/>
      <c r="B368" s="168"/>
    </row>
    <row r="369">
      <c r="A369" s="127"/>
      <c r="B369" s="168"/>
    </row>
    <row r="370">
      <c r="A370" s="127"/>
      <c r="B370" s="168"/>
    </row>
    <row r="371">
      <c r="A371" s="127"/>
      <c r="B371" s="168"/>
    </row>
    <row r="372">
      <c r="A372" s="127"/>
      <c r="B372" s="168"/>
    </row>
    <row r="373">
      <c r="A373" s="127"/>
      <c r="B373" s="168"/>
    </row>
    <row r="374">
      <c r="A374" s="127"/>
      <c r="B374" s="168"/>
    </row>
    <row r="375">
      <c r="A375" s="127"/>
      <c r="B375" s="168"/>
    </row>
    <row r="376">
      <c r="A376" s="127"/>
      <c r="B376" s="168"/>
    </row>
    <row r="377">
      <c r="A377" s="127"/>
      <c r="B377" s="168"/>
    </row>
    <row r="378">
      <c r="A378" s="127"/>
      <c r="B378" s="168"/>
    </row>
    <row r="379">
      <c r="A379" s="127"/>
      <c r="B379" s="168"/>
    </row>
    <row r="380">
      <c r="A380" s="127"/>
      <c r="B380" s="168"/>
    </row>
    <row r="381">
      <c r="A381" s="127"/>
      <c r="B381" s="168"/>
    </row>
    <row r="382">
      <c r="A382" s="127"/>
      <c r="B382" s="168"/>
    </row>
    <row r="383">
      <c r="A383" s="127"/>
      <c r="B383" s="168"/>
    </row>
    <row r="384">
      <c r="A384" s="127"/>
      <c r="B384" s="168"/>
    </row>
    <row r="385">
      <c r="A385" s="127"/>
      <c r="B385" s="168"/>
    </row>
    <row r="386">
      <c r="A386" s="127"/>
      <c r="B386" s="168"/>
    </row>
    <row r="387">
      <c r="A387" s="127"/>
      <c r="B387" s="168"/>
    </row>
    <row r="388">
      <c r="A388" s="127"/>
      <c r="B388" s="168"/>
    </row>
    <row r="389">
      <c r="A389" s="127"/>
      <c r="B389" s="168"/>
    </row>
    <row r="390">
      <c r="A390" s="127"/>
      <c r="B390" s="168"/>
    </row>
    <row r="391">
      <c r="A391" s="127"/>
      <c r="B391" s="168"/>
    </row>
    <row r="392">
      <c r="A392" s="127"/>
      <c r="B392" s="168"/>
    </row>
    <row r="393">
      <c r="A393" s="127"/>
      <c r="B393" s="168"/>
    </row>
    <row r="394">
      <c r="A394" s="127"/>
      <c r="B394" s="168"/>
    </row>
    <row r="395">
      <c r="A395" s="127"/>
      <c r="B395" s="168"/>
    </row>
    <row r="396">
      <c r="A396" s="127"/>
      <c r="B396" s="168"/>
    </row>
    <row r="397">
      <c r="A397" s="127"/>
      <c r="B397" s="168"/>
    </row>
    <row r="398">
      <c r="A398" s="127"/>
      <c r="B398" s="168"/>
    </row>
    <row r="399">
      <c r="A399" s="127"/>
      <c r="B399" s="168"/>
    </row>
    <row r="400">
      <c r="A400" s="127"/>
      <c r="B400" s="168"/>
    </row>
    <row r="401">
      <c r="A401" s="127"/>
      <c r="B401" s="168"/>
    </row>
    <row r="402">
      <c r="A402" s="127"/>
      <c r="B402" s="168"/>
    </row>
    <row r="403">
      <c r="A403" s="127"/>
      <c r="B403" s="168"/>
    </row>
    <row r="404">
      <c r="A404" s="127"/>
      <c r="B404" s="168"/>
    </row>
    <row r="405">
      <c r="A405" s="127"/>
      <c r="B405" s="168"/>
    </row>
    <row r="406">
      <c r="A406" s="127"/>
      <c r="B406" s="168"/>
    </row>
    <row r="407">
      <c r="A407" s="127"/>
      <c r="B407" s="168"/>
    </row>
    <row r="408">
      <c r="A408" s="127"/>
      <c r="B408" s="168"/>
    </row>
    <row r="409">
      <c r="A409" s="127"/>
      <c r="B409" s="168"/>
    </row>
    <row r="410">
      <c r="A410" s="127"/>
      <c r="B410" s="168"/>
    </row>
    <row r="411">
      <c r="A411" s="127"/>
      <c r="B411" s="168"/>
    </row>
    <row r="412">
      <c r="A412" s="127"/>
      <c r="B412" s="168"/>
    </row>
    <row r="413">
      <c r="A413" s="127"/>
      <c r="B413" s="168"/>
    </row>
    <row r="414">
      <c r="A414" s="127"/>
      <c r="B414" s="168"/>
    </row>
    <row r="415">
      <c r="A415" s="127"/>
      <c r="B415" s="168"/>
    </row>
    <row r="416">
      <c r="A416" s="127"/>
      <c r="B416" s="168"/>
    </row>
    <row r="417">
      <c r="A417" s="127"/>
      <c r="B417" s="168"/>
    </row>
    <row r="418">
      <c r="A418" s="127"/>
      <c r="B418" s="168"/>
    </row>
    <row r="419">
      <c r="A419" s="127"/>
      <c r="B419" s="168"/>
    </row>
    <row r="420">
      <c r="A420" s="127"/>
      <c r="B420" s="168"/>
    </row>
    <row r="421">
      <c r="A421" s="127"/>
      <c r="B421" s="168"/>
    </row>
    <row r="422">
      <c r="A422" s="127"/>
      <c r="B422" s="168"/>
    </row>
    <row r="423">
      <c r="A423" s="127"/>
      <c r="B423" s="168"/>
    </row>
    <row r="424">
      <c r="A424" s="127"/>
      <c r="B424" s="168"/>
    </row>
    <row r="425">
      <c r="A425" s="127"/>
      <c r="B425" s="168"/>
    </row>
    <row r="426">
      <c r="A426" s="127"/>
      <c r="B426" s="168"/>
    </row>
    <row r="427">
      <c r="A427" s="127"/>
      <c r="B427" s="168"/>
    </row>
    <row r="428">
      <c r="A428" s="127"/>
      <c r="B428" s="168"/>
    </row>
    <row r="429">
      <c r="A429" s="127"/>
      <c r="B429" s="168"/>
    </row>
    <row r="430">
      <c r="A430" s="127"/>
      <c r="B430" s="168"/>
    </row>
    <row r="431">
      <c r="A431" s="127"/>
      <c r="B431" s="168"/>
    </row>
    <row r="432">
      <c r="A432" s="127"/>
      <c r="B432" s="168"/>
    </row>
    <row r="433">
      <c r="A433" s="127"/>
      <c r="B433" s="168"/>
    </row>
    <row r="434">
      <c r="A434" s="127"/>
      <c r="B434" s="168"/>
    </row>
    <row r="435">
      <c r="A435" s="127"/>
      <c r="B435" s="168"/>
    </row>
    <row r="436">
      <c r="A436" s="127"/>
      <c r="B436" s="168"/>
    </row>
    <row r="437">
      <c r="A437" s="127"/>
      <c r="B437" s="168"/>
    </row>
    <row r="438">
      <c r="A438" s="127"/>
      <c r="B438" s="168"/>
    </row>
    <row r="439">
      <c r="A439" s="127"/>
      <c r="B439" s="168"/>
    </row>
    <row r="440">
      <c r="A440" s="127"/>
      <c r="B440" s="168"/>
    </row>
    <row r="441">
      <c r="A441" s="127"/>
      <c r="B441" s="168"/>
    </row>
    <row r="442">
      <c r="A442" s="127"/>
      <c r="B442" s="168"/>
    </row>
    <row r="443">
      <c r="A443" s="127"/>
      <c r="B443" s="168"/>
    </row>
    <row r="444">
      <c r="A444" s="127"/>
      <c r="B444" s="168"/>
    </row>
    <row r="445">
      <c r="A445" s="127"/>
      <c r="B445" s="168"/>
    </row>
    <row r="446">
      <c r="A446" s="127"/>
      <c r="B446" s="168"/>
    </row>
    <row r="447">
      <c r="A447" s="127"/>
      <c r="B447" s="168"/>
    </row>
    <row r="448">
      <c r="A448" s="127"/>
      <c r="B448" s="168"/>
    </row>
    <row r="449">
      <c r="A449" s="127"/>
      <c r="B449" s="168"/>
    </row>
    <row r="450">
      <c r="A450" s="127"/>
      <c r="B450" s="168"/>
    </row>
    <row r="451">
      <c r="A451" s="127"/>
      <c r="B451" s="168"/>
    </row>
    <row r="452">
      <c r="A452" s="127"/>
      <c r="B452" s="168"/>
    </row>
    <row r="453">
      <c r="A453" s="127"/>
      <c r="B453" s="168"/>
    </row>
    <row r="454">
      <c r="A454" s="127"/>
      <c r="B454" s="168"/>
    </row>
    <row r="455">
      <c r="A455" s="127"/>
      <c r="B455" s="168"/>
    </row>
    <row r="456">
      <c r="A456" s="127"/>
      <c r="B456" s="168"/>
    </row>
    <row r="457">
      <c r="A457" s="127"/>
      <c r="B457" s="168"/>
    </row>
    <row r="458">
      <c r="A458" s="127"/>
      <c r="B458" s="168"/>
    </row>
    <row r="459">
      <c r="A459" s="127"/>
      <c r="B459" s="168"/>
    </row>
    <row r="460">
      <c r="A460" s="127"/>
      <c r="B460" s="168"/>
    </row>
    <row r="461">
      <c r="A461" s="127"/>
      <c r="B461" s="168"/>
    </row>
    <row r="462">
      <c r="A462" s="127"/>
      <c r="B462" s="168"/>
    </row>
    <row r="463">
      <c r="A463" s="127"/>
      <c r="B463" s="168"/>
    </row>
    <row r="464">
      <c r="A464" s="127"/>
      <c r="B464" s="168"/>
    </row>
    <row r="465">
      <c r="A465" s="127"/>
      <c r="B465" s="168"/>
    </row>
    <row r="466">
      <c r="A466" s="127"/>
      <c r="B466" s="168"/>
    </row>
    <row r="467">
      <c r="A467" s="127"/>
      <c r="B467" s="168"/>
    </row>
    <row r="468">
      <c r="A468" s="127"/>
      <c r="B468" s="168"/>
    </row>
    <row r="469">
      <c r="A469" s="127"/>
      <c r="B469" s="168"/>
    </row>
    <row r="470">
      <c r="A470" s="127"/>
      <c r="B470" s="168"/>
    </row>
    <row r="471">
      <c r="A471" s="127"/>
      <c r="B471" s="168"/>
    </row>
    <row r="472">
      <c r="A472" s="127"/>
      <c r="B472" s="168"/>
    </row>
    <row r="473">
      <c r="A473" s="127"/>
      <c r="B473" s="168"/>
    </row>
    <row r="474">
      <c r="A474" s="127"/>
      <c r="B474" s="168"/>
    </row>
    <row r="475">
      <c r="A475" s="127"/>
      <c r="B475" s="168"/>
    </row>
    <row r="476">
      <c r="A476" s="127"/>
      <c r="B476" s="168"/>
    </row>
    <row r="477">
      <c r="A477" s="127"/>
      <c r="B477" s="168"/>
    </row>
    <row r="478">
      <c r="A478" s="127"/>
      <c r="B478" s="168"/>
    </row>
    <row r="479">
      <c r="A479" s="127"/>
      <c r="B479" s="168"/>
    </row>
    <row r="480">
      <c r="A480" s="127"/>
      <c r="B480" s="168"/>
    </row>
    <row r="481">
      <c r="A481" s="127"/>
      <c r="B481" s="168"/>
    </row>
    <row r="482">
      <c r="A482" s="127"/>
      <c r="B482" s="168"/>
    </row>
    <row r="483">
      <c r="A483" s="127"/>
      <c r="B483" s="168"/>
    </row>
    <row r="484">
      <c r="A484" s="127"/>
      <c r="B484" s="168"/>
    </row>
    <row r="485">
      <c r="A485" s="127"/>
      <c r="B485" s="168"/>
    </row>
    <row r="486">
      <c r="A486" s="127"/>
      <c r="B486" s="168"/>
    </row>
    <row r="487">
      <c r="A487" s="127"/>
      <c r="B487" s="168"/>
    </row>
    <row r="488">
      <c r="A488" s="127"/>
      <c r="B488" s="168"/>
    </row>
    <row r="489">
      <c r="A489" s="127"/>
      <c r="B489" s="168"/>
    </row>
    <row r="490">
      <c r="A490" s="127"/>
      <c r="B490" s="168"/>
    </row>
    <row r="491">
      <c r="A491" s="127"/>
      <c r="B491" s="168"/>
    </row>
    <row r="492">
      <c r="A492" s="127"/>
      <c r="B492" s="168"/>
    </row>
    <row r="493">
      <c r="A493" s="127"/>
      <c r="B493" s="168"/>
    </row>
    <row r="494">
      <c r="A494" s="127"/>
      <c r="B494" s="168"/>
    </row>
    <row r="495">
      <c r="A495" s="127"/>
      <c r="B495" s="168"/>
    </row>
    <row r="496">
      <c r="A496" s="127"/>
      <c r="B496" s="168"/>
    </row>
    <row r="497">
      <c r="A497" s="127"/>
      <c r="B497" s="168"/>
    </row>
    <row r="498">
      <c r="A498" s="127"/>
      <c r="B498" s="168"/>
    </row>
    <row r="499">
      <c r="A499" s="127"/>
      <c r="B499" s="168"/>
    </row>
    <row r="500">
      <c r="A500" s="127"/>
      <c r="B500" s="168"/>
    </row>
    <row r="501">
      <c r="A501" s="127"/>
      <c r="B501" s="168"/>
    </row>
    <row r="502">
      <c r="A502" s="127"/>
      <c r="B502" s="168"/>
    </row>
    <row r="503">
      <c r="A503" s="127"/>
      <c r="B503" s="168"/>
    </row>
    <row r="504">
      <c r="A504" s="127"/>
      <c r="B504" s="168"/>
    </row>
    <row r="505">
      <c r="A505" s="127"/>
      <c r="B505" s="168"/>
    </row>
    <row r="506">
      <c r="A506" s="127"/>
      <c r="B506" s="168"/>
    </row>
    <row r="507">
      <c r="A507" s="127"/>
      <c r="B507" s="168"/>
    </row>
    <row r="508">
      <c r="A508" s="127"/>
      <c r="B508" s="168"/>
    </row>
    <row r="509">
      <c r="A509" s="127"/>
      <c r="B509" s="168"/>
    </row>
    <row r="510">
      <c r="A510" s="127"/>
      <c r="B510" s="168"/>
    </row>
    <row r="511">
      <c r="A511" s="127"/>
      <c r="B511" s="168"/>
    </row>
    <row r="512">
      <c r="A512" s="127"/>
      <c r="B512" s="168"/>
    </row>
    <row r="513">
      <c r="A513" s="127"/>
      <c r="B513" s="168"/>
    </row>
    <row r="514">
      <c r="A514" s="127"/>
      <c r="B514" s="168"/>
    </row>
    <row r="515">
      <c r="A515" s="127"/>
      <c r="B515" s="168"/>
    </row>
    <row r="516">
      <c r="A516" s="127"/>
      <c r="B516" s="168"/>
    </row>
    <row r="517">
      <c r="A517" s="127"/>
      <c r="B517" s="168"/>
    </row>
    <row r="518">
      <c r="A518" s="127"/>
      <c r="B518" s="168"/>
    </row>
    <row r="519">
      <c r="A519" s="127"/>
      <c r="B519" s="168"/>
    </row>
    <row r="520">
      <c r="A520" s="127"/>
      <c r="B520" s="168"/>
    </row>
    <row r="521">
      <c r="A521" s="127"/>
      <c r="B521" s="168"/>
    </row>
    <row r="522">
      <c r="A522" s="127"/>
      <c r="B522" s="168"/>
    </row>
    <row r="523">
      <c r="A523" s="127"/>
      <c r="B523" s="168"/>
    </row>
    <row r="524">
      <c r="A524" s="127"/>
      <c r="B524" s="168"/>
    </row>
    <row r="525">
      <c r="A525" s="127"/>
      <c r="B525" s="168"/>
    </row>
    <row r="526">
      <c r="A526" s="127"/>
      <c r="B526" s="168"/>
    </row>
    <row r="527">
      <c r="A527" s="127"/>
      <c r="B527" s="168"/>
    </row>
    <row r="528">
      <c r="A528" s="127"/>
      <c r="B528" s="168"/>
    </row>
    <row r="529">
      <c r="A529" s="127"/>
      <c r="B529" s="168"/>
    </row>
    <row r="530">
      <c r="A530" s="127"/>
      <c r="B530" s="168"/>
    </row>
    <row r="531">
      <c r="A531" s="127"/>
      <c r="B531" s="168"/>
    </row>
    <row r="532">
      <c r="A532" s="127"/>
      <c r="B532" s="168"/>
    </row>
    <row r="533">
      <c r="A533" s="127"/>
      <c r="B533" s="168"/>
    </row>
    <row r="534">
      <c r="A534" s="127"/>
      <c r="B534" s="168"/>
    </row>
    <row r="535">
      <c r="A535" s="127"/>
      <c r="B535" s="168"/>
    </row>
    <row r="536">
      <c r="A536" s="127"/>
      <c r="B536" s="168"/>
    </row>
    <row r="537">
      <c r="A537" s="127"/>
      <c r="B537" s="168"/>
    </row>
    <row r="538">
      <c r="A538" s="127"/>
      <c r="B538" s="168"/>
    </row>
    <row r="539">
      <c r="A539" s="127"/>
      <c r="B539" s="168"/>
    </row>
    <row r="540">
      <c r="A540" s="127"/>
      <c r="B540" s="168"/>
    </row>
    <row r="541">
      <c r="A541" s="127"/>
      <c r="B541" s="168"/>
    </row>
    <row r="542">
      <c r="A542" s="127"/>
      <c r="B542" s="168"/>
    </row>
    <row r="543">
      <c r="A543" s="127"/>
      <c r="B543" s="168"/>
    </row>
    <row r="544">
      <c r="A544" s="127"/>
      <c r="B544" s="168"/>
    </row>
    <row r="545">
      <c r="A545" s="127"/>
      <c r="B545" s="168"/>
    </row>
    <row r="546">
      <c r="A546" s="127"/>
      <c r="B546" s="168"/>
    </row>
    <row r="547">
      <c r="A547" s="127"/>
      <c r="B547" s="168"/>
    </row>
    <row r="548">
      <c r="A548" s="127"/>
      <c r="B548" s="168"/>
    </row>
    <row r="549">
      <c r="A549" s="127"/>
      <c r="B549" s="168"/>
    </row>
    <row r="550">
      <c r="A550" s="127"/>
      <c r="B550" s="168"/>
    </row>
    <row r="551">
      <c r="A551" s="127"/>
      <c r="B551" s="168"/>
    </row>
    <row r="552">
      <c r="A552" s="127"/>
      <c r="B552" s="168"/>
    </row>
    <row r="553">
      <c r="A553" s="127"/>
      <c r="B553" s="168"/>
    </row>
    <row r="554">
      <c r="A554" s="127"/>
      <c r="B554" s="168"/>
    </row>
    <row r="555">
      <c r="A555" s="127"/>
      <c r="B555" s="168"/>
    </row>
    <row r="556">
      <c r="A556" s="127"/>
      <c r="B556" s="168"/>
    </row>
    <row r="557">
      <c r="A557" s="127"/>
      <c r="B557" s="168"/>
    </row>
    <row r="558">
      <c r="A558" s="127"/>
      <c r="B558" s="168"/>
    </row>
    <row r="559">
      <c r="A559" s="127"/>
      <c r="B559" s="168"/>
    </row>
    <row r="560">
      <c r="A560" s="127"/>
      <c r="B560" s="168"/>
    </row>
    <row r="561">
      <c r="A561" s="127"/>
      <c r="B561" s="168"/>
    </row>
    <row r="562">
      <c r="A562" s="127"/>
      <c r="B562" s="168"/>
    </row>
    <row r="563">
      <c r="A563" s="127"/>
      <c r="B563" s="168"/>
    </row>
    <row r="564">
      <c r="A564" s="127"/>
      <c r="B564" s="168"/>
    </row>
    <row r="565">
      <c r="A565" s="127"/>
      <c r="B565" s="168"/>
    </row>
    <row r="566">
      <c r="A566" s="127"/>
      <c r="B566" s="168"/>
    </row>
    <row r="567">
      <c r="A567" s="127"/>
      <c r="B567" s="168"/>
    </row>
    <row r="568">
      <c r="A568" s="127"/>
      <c r="B568" s="168"/>
    </row>
    <row r="569">
      <c r="A569" s="127"/>
      <c r="B569" s="168"/>
    </row>
    <row r="570">
      <c r="A570" s="127"/>
      <c r="B570" s="168"/>
    </row>
    <row r="571">
      <c r="A571" s="127"/>
      <c r="B571" s="168"/>
    </row>
    <row r="572">
      <c r="A572" s="127"/>
      <c r="B572" s="168"/>
    </row>
    <row r="573">
      <c r="A573" s="127"/>
      <c r="B573" s="168"/>
    </row>
    <row r="574">
      <c r="A574" s="127"/>
      <c r="B574" s="168"/>
    </row>
    <row r="575">
      <c r="A575" s="127"/>
      <c r="B575" s="168"/>
    </row>
    <row r="576">
      <c r="A576" s="127"/>
      <c r="B576" s="168"/>
    </row>
    <row r="577">
      <c r="A577" s="127"/>
      <c r="B577" s="168"/>
    </row>
    <row r="578">
      <c r="A578" s="127"/>
      <c r="B578" s="168"/>
    </row>
    <row r="579">
      <c r="A579" s="127"/>
      <c r="B579" s="168"/>
    </row>
    <row r="580">
      <c r="A580" s="127"/>
      <c r="B580" s="168"/>
    </row>
    <row r="581">
      <c r="A581" s="127"/>
      <c r="B581" s="168"/>
    </row>
    <row r="582">
      <c r="A582" s="127"/>
      <c r="B582" s="168"/>
    </row>
    <row r="583">
      <c r="A583" s="127"/>
      <c r="B583" s="168"/>
    </row>
    <row r="584">
      <c r="A584" s="127"/>
      <c r="B584" s="168"/>
    </row>
    <row r="585">
      <c r="A585" s="127"/>
      <c r="B585" s="168"/>
    </row>
    <row r="586">
      <c r="A586" s="127"/>
      <c r="B586" s="168"/>
    </row>
    <row r="587">
      <c r="A587" s="127"/>
      <c r="B587" s="168"/>
    </row>
    <row r="588">
      <c r="A588" s="127"/>
      <c r="B588" s="168"/>
    </row>
    <row r="589">
      <c r="A589" s="127"/>
      <c r="B589" s="168"/>
    </row>
    <row r="590">
      <c r="A590" s="127"/>
      <c r="B590" s="168"/>
    </row>
    <row r="591">
      <c r="A591" s="127"/>
      <c r="B591" s="168"/>
    </row>
    <row r="592">
      <c r="A592" s="127"/>
      <c r="B592" s="168"/>
    </row>
    <row r="593">
      <c r="A593" s="127"/>
      <c r="B593" s="168"/>
    </row>
    <row r="594">
      <c r="A594" s="127"/>
      <c r="B594" s="168"/>
    </row>
    <row r="595">
      <c r="A595" s="127"/>
      <c r="B595" s="168"/>
    </row>
    <row r="596">
      <c r="A596" s="127"/>
      <c r="B596" s="168"/>
    </row>
    <row r="597">
      <c r="A597" s="127"/>
      <c r="B597" s="168"/>
    </row>
    <row r="598">
      <c r="A598" s="127"/>
      <c r="B598" s="168"/>
    </row>
    <row r="599">
      <c r="A599" s="127"/>
      <c r="B599" s="168"/>
    </row>
    <row r="600">
      <c r="A600" s="127"/>
      <c r="B600" s="168"/>
    </row>
    <row r="601">
      <c r="A601" s="127"/>
      <c r="B601" s="168"/>
    </row>
    <row r="602">
      <c r="A602" s="127"/>
      <c r="B602" s="168"/>
    </row>
    <row r="603">
      <c r="A603" s="127"/>
      <c r="B603" s="168"/>
    </row>
    <row r="604">
      <c r="A604" s="127"/>
      <c r="B604" s="168"/>
    </row>
    <row r="605">
      <c r="A605" s="127"/>
      <c r="B605" s="168"/>
    </row>
    <row r="606">
      <c r="A606" s="127"/>
      <c r="B606" s="168"/>
    </row>
    <row r="607">
      <c r="A607" s="127"/>
      <c r="B607" s="168"/>
    </row>
    <row r="608">
      <c r="A608" s="127"/>
      <c r="B608" s="168"/>
    </row>
    <row r="609">
      <c r="A609" s="127"/>
      <c r="B609" s="168"/>
    </row>
    <row r="610">
      <c r="A610" s="127"/>
      <c r="B610" s="168"/>
    </row>
    <row r="611">
      <c r="A611" s="127"/>
      <c r="B611" s="168"/>
    </row>
    <row r="612">
      <c r="A612" s="127"/>
      <c r="B612" s="168"/>
    </row>
    <row r="613">
      <c r="A613" s="127"/>
      <c r="B613" s="168"/>
    </row>
    <row r="614">
      <c r="A614" s="127"/>
      <c r="B614" s="168"/>
    </row>
    <row r="615">
      <c r="A615" s="127"/>
      <c r="B615" s="168"/>
    </row>
    <row r="616">
      <c r="A616" s="127"/>
      <c r="B616" s="168"/>
    </row>
    <row r="617">
      <c r="A617" s="127"/>
      <c r="B617" s="168"/>
    </row>
    <row r="618">
      <c r="A618" s="127"/>
      <c r="B618" s="168"/>
    </row>
    <row r="619">
      <c r="A619" s="127"/>
      <c r="B619" s="168"/>
    </row>
    <row r="620">
      <c r="A620" s="127"/>
      <c r="B620" s="168"/>
    </row>
    <row r="621">
      <c r="A621" s="127"/>
      <c r="B621" s="168"/>
    </row>
    <row r="622">
      <c r="A622" s="127"/>
      <c r="B622" s="168"/>
    </row>
    <row r="623">
      <c r="A623" s="127"/>
      <c r="B623" s="168"/>
    </row>
    <row r="624">
      <c r="A624" s="127"/>
      <c r="B624" s="168"/>
    </row>
    <row r="625">
      <c r="A625" s="127"/>
      <c r="B625" s="168"/>
    </row>
    <row r="626">
      <c r="A626" s="127"/>
      <c r="B626" s="168"/>
    </row>
    <row r="627">
      <c r="A627" s="127"/>
      <c r="B627" s="168"/>
    </row>
    <row r="628">
      <c r="A628" s="127"/>
      <c r="B628" s="168"/>
    </row>
    <row r="629">
      <c r="A629" s="127"/>
      <c r="B629" s="168"/>
    </row>
    <row r="630">
      <c r="A630" s="127"/>
      <c r="B630" s="168"/>
    </row>
    <row r="631">
      <c r="A631" s="127"/>
      <c r="B631" s="168"/>
    </row>
    <row r="632">
      <c r="A632" s="127"/>
      <c r="B632" s="168"/>
    </row>
    <row r="633">
      <c r="A633" s="127"/>
      <c r="B633" s="168"/>
    </row>
    <row r="634">
      <c r="A634" s="127"/>
      <c r="B634" s="168"/>
    </row>
    <row r="635">
      <c r="A635" s="127"/>
      <c r="B635" s="168"/>
    </row>
    <row r="636">
      <c r="A636" s="127"/>
      <c r="B636" s="168"/>
    </row>
    <row r="637">
      <c r="A637" s="127"/>
      <c r="B637" s="168"/>
    </row>
    <row r="638">
      <c r="A638" s="127"/>
      <c r="B638" s="168"/>
    </row>
    <row r="639">
      <c r="A639" s="127"/>
      <c r="B639" s="168"/>
    </row>
    <row r="640">
      <c r="A640" s="127"/>
      <c r="B640" s="168"/>
    </row>
    <row r="641">
      <c r="A641" s="127"/>
      <c r="B641" s="168"/>
    </row>
    <row r="642">
      <c r="A642" s="127"/>
      <c r="B642" s="168"/>
    </row>
    <row r="643">
      <c r="A643" s="127"/>
      <c r="B643" s="168"/>
    </row>
    <row r="644">
      <c r="A644" s="127"/>
      <c r="B644" s="168"/>
    </row>
    <row r="645">
      <c r="A645" s="127"/>
      <c r="B645" s="168"/>
    </row>
    <row r="646">
      <c r="A646" s="127"/>
      <c r="B646" s="168"/>
    </row>
    <row r="647">
      <c r="A647" s="127"/>
      <c r="B647" s="168"/>
    </row>
    <row r="648">
      <c r="A648" s="127"/>
      <c r="B648" s="168"/>
    </row>
    <row r="649">
      <c r="A649" s="127"/>
      <c r="B649" s="168"/>
    </row>
    <row r="650">
      <c r="A650" s="127"/>
      <c r="B650" s="168"/>
    </row>
    <row r="651">
      <c r="A651" s="127"/>
      <c r="B651" s="168"/>
    </row>
    <row r="652">
      <c r="A652" s="127"/>
      <c r="B652" s="168"/>
    </row>
    <row r="653">
      <c r="A653" s="127"/>
      <c r="B653" s="168"/>
    </row>
    <row r="654">
      <c r="A654" s="127"/>
      <c r="B654" s="168"/>
    </row>
    <row r="655">
      <c r="A655" s="127"/>
      <c r="B655" s="168"/>
    </row>
    <row r="656">
      <c r="A656" s="127"/>
      <c r="B656" s="168"/>
    </row>
    <row r="657">
      <c r="A657" s="127"/>
      <c r="B657" s="168"/>
    </row>
    <row r="658">
      <c r="A658" s="127"/>
      <c r="B658" s="168"/>
    </row>
    <row r="659">
      <c r="A659" s="127"/>
      <c r="B659" s="168"/>
    </row>
    <row r="660">
      <c r="A660" s="127"/>
      <c r="B660" s="168"/>
    </row>
    <row r="661">
      <c r="A661" s="127"/>
      <c r="B661" s="168"/>
    </row>
    <row r="662">
      <c r="A662" s="127"/>
      <c r="B662" s="168"/>
    </row>
    <row r="663">
      <c r="A663" s="127"/>
      <c r="B663" s="168"/>
    </row>
    <row r="664">
      <c r="A664" s="127"/>
      <c r="B664" s="168"/>
    </row>
    <row r="665">
      <c r="A665" s="127"/>
      <c r="B665" s="168"/>
    </row>
    <row r="666">
      <c r="A666" s="127"/>
      <c r="B666" s="168"/>
    </row>
    <row r="667">
      <c r="A667" s="127"/>
      <c r="B667" s="168"/>
    </row>
    <row r="668">
      <c r="A668" s="127"/>
      <c r="B668" s="168"/>
    </row>
    <row r="669">
      <c r="A669" s="127"/>
      <c r="B669" s="168"/>
    </row>
    <row r="670">
      <c r="A670" s="127"/>
      <c r="B670" s="168"/>
    </row>
    <row r="671">
      <c r="A671" s="127"/>
      <c r="B671" s="168"/>
    </row>
    <row r="672">
      <c r="A672" s="127"/>
      <c r="B672" s="168"/>
    </row>
    <row r="673">
      <c r="A673" s="127"/>
      <c r="B673" s="168"/>
    </row>
    <row r="674">
      <c r="A674" s="127"/>
      <c r="B674" s="168"/>
    </row>
    <row r="675">
      <c r="A675" s="127"/>
      <c r="B675" s="168"/>
    </row>
    <row r="676">
      <c r="A676" s="127"/>
      <c r="B676" s="168"/>
    </row>
    <row r="677">
      <c r="A677" s="127"/>
      <c r="B677" s="168"/>
    </row>
    <row r="678">
      <c r="A678" s="127"/>
      <c r="B678" s="168"/>
    </row>
    <row r="679">
      <c r="A679" s="127"/>
      <c r="B679" s="168"/>
    </row>
    <row r="680">
      <c r="A680" s="127"/>
      <c r="B680" s="168"/>
    </row>
    <row r="681">
      <c r="A681" s="127"/>
      <c r="B681" s="168"/>
    </row>
    <row r="682">
      <c r="A682" s="127"/>
      <c r="B682" s="168"/>
    </row>
    <row r="683">
      <c r="A683" s="127"/>
      <c r="B683" s="168"/>
    </row>
    <row r="684">
      <c r="A684" s="127"/>
      <c r="B684" s="168"/>
    </row>
    <row r="685">
      <c r="A685" s="127"/>
      <c r="B685" s="168"/>
    </row>
    <row r="686">
      <c r="A686" s="127"/>
      <c r="B686" s="168"/>
    </row>
    <row r="687">
      <c r="A687" s="127"/>
      <c r="B687" s="168"/>
    </row>
    <row r="688">
      <c r="A688" s="127"/>
      <c r="B688" s="168"/>
    </row>
    <row r="689">
      <c r="A689" s="127"/>
      <c r="B689" s="168"/>
    </row>
    <row r="690">
      <c r="A690" s="127"/>
      <c r="B690" s="168"/>
    </row>
    <row r="691">
      <c r="A691" s="127"/>
      <c r="B691" s="168"/>
    </row>
    <row r="692">
      <c r="A692" s="127"/>
      <c r="B692" s="168"/>
    </row>
    <row r="693">
      <c r="A693" s="127"/>
      <c r="B693" s="168"/>
    </row>
    <row r="694">
      <c r="A694" s="127"/>
      <c r="B694" s="168"/>
    </row>
    <row r="695">
      <c r="A695" s="127"/>
      <c r="B695" s="168"/>
    </row>
    <row r="696">
      <c r="A696" s="127"/>
      <c r="B696" s="168"/>
    </row>
    <row r="697">
      <c r="A697" s="127"/>
      <c r="B697" s="168"/>
    </row>
    <row r="698">
      <c r="A698" s="127"/>
      <c r="B698" s="168"/>
    </row>
    <row r="699">
      <c r="A699" s="127"/>
      <c r="B699" s="168"/>
    </row>
    <row r="700">
      <c r="A700" s="127"/>
      <c r="B700" s="168"/>
    </row>
    <row r="701">
      <c r="A701" s="127"/>
      <c r="B701" s="168"/>
    </row>
    <row r="702">
      <c r="A702" s="127"/>
      <c r="B702" s="168"/>
    </row>
    <row r="703">
      <c r="A703" s="127"/>
      <c r="B703" s="168"/>
    </row>
    <row r="704">
      <c r="A704" s="127"/>
      <c r="B704" s="168"/>
    </row>
    <row r="705">
      <c r="A705" s="127"/>
      <c r="B705" s="168"/>
    </row>
    <row r="706">
      <c r="A706" s="127"/>
      <c r="B706" s="168"/>
    </row>
    <row r="707">
      <c r="A707" s="127"/>
      <c r="B707" s="168"/>
    </row>
    <row r="708">
      <c r="A708" s="127"/>
      <c r="B708" s="168"/>
    </row>
    <row r="709">
      <c r="A709" s="127"/>
      <c r="B709" s="168"/>
    </row>
    <row r="710">
      <c r="A710" s="127"/>
      <c r="B710" s="168"/>
    </row>
    <row r="711">
      <c r="A711" s="127"/>
      <c r="B711" s="168"/>
    </row>
    <row r="712">
      <c r="A712" s="127"/>
      <c r="B712" s="168"/>
    </row>
    <row r="713">
      <c r="A713" s="127"/>
      <c r="B713" s="168"/>
    </row>
    <row r="714">
      <c r="A714" s="127"/>
      <c r="B714" s="168"/>
    </row>
    <row r="715">
      <c r="A715" s="127"/>
      <c r="B715" s="168"/>
    </row>
    <row r="716">
      <c r="A716" s="127"/>
      <c r="B716" s="168"/>
    </row>
    <row r="717">
      <c r="A717" s="127"/>
      <c r="B717" s="168"/>
    </row>
    <row r="718">
      <c r="A718" s="127"/>
      <c r="B718" s="168"/>
    </row>
    <row r="719">
      <c r="A719" s="127"/>
      <c r="B719" s="168"/>
    </row>
    <row r="720">
      <c r="A720" s="127"/>
      <c r="B720" s="168"/>
    </row>
    <row r="721">
      <c r="A721" s="127"/>
      <c r="B721" s="168"/>
    </row>
    <row r="722">
      <c r="A722" s="127"/>
      <c r="B722" s="168"/>
    </row>
    <row r="723">
      <c r="A723" s="127"/>
      <c r="B723" s="168"/>
    </row>
    <row r="724">
      <c r="A724" s="127"/>
      <c r="B724" s="168"/>
    </row>
    <row r="725">
      <c r="A725" s="127"/>
      <c r="B725" s="168"/>
    </row>
    <row r="726">
      <c r="A726" s="127"/>
      <c r="B726" s="168"/>
    </row>
    <row r="727">
      <c r="A727" s="127"/>
      <c r="B727" s="168"/>
    </row>
    <row r="728">
      <c r="A728" s="127"/>
      <c r="B728" s="168"/>
    </row>
    <row r="729">
      <c r="A729" s="127"/>
      <c r="B729" s="168"/>
    </row>
    <row r="730">
      <c r="A730" s="127"/>
      <c r="B730" s="168"/>
    </row>
    <row r="731">
      <c r="A731" s="127"/>
      <c r="B731" s="168"/>
    </row>
    <row r="732">
      <c r="A732" s="127"/>
      <c r="B732" s="168"/>
    </row>
    <row r="733">
      <c r="A733" s="127"/>
      <c r="B733" s="168"/>
    </row>
    <row r="734">
      <c r="A734" s="127"/>
      <c r="B734" s="168"/>
    </row>
    <row r="735">
      <c r="A735" s="127"/>
      <c r="B735" s="168"/>
    </row>
    <row r="736">
      <c r="A736" s="127"/>
      <c r="B736" s="168"/>
    </row>
    <row r="737">
      <c r="A737" s="127"/>
      <c r="B737" s="168"/>
    </row>
    <row r="738">
      <c r="A738" s="127"/>
      <c r="B738" s="168"/>
    </row>
    <row r="739">
      <c r="A739" s="127"/>
      <c r="B739" s="168"/>
    </row>
    <row r="740">
      <c r="A740" s="127"/>
      <c r="B740" s="168"/>
    </row>
    <row r="741">
      <c r="A741" s="127"/>
      <c r="B741" s="168"/>
    </row>
    <row r="742">
      <c r="A742" s="127"/>
      <c r="B742" s="168"/>
    </row>
    <row r="743">
      <c r="A743" s="127"/>
      <c r="B743" s="168"/>
    </row>
    <row r="744">
      <c r="A744" s="127"/>
      <c r="B744" s="168"/>
    </row>
    <row r="745">
      <c r="A745" s="127"/>
      <c r="B745" s="168"/>
    </row>
    <row r="746">
      <c r="A746" s="127"/>
      <c r="B746" s="168"/>
    </row>
    <row r="747">
      <c r="A747" s="127"/>
      <c r="B747" s="168"/>
    </row>
    <row r="748">
      <c r="A748" s="127"/>
      <c r="B748" s="168"/>
    </row>
    <row r="749">
      <c r="A749" s="127"/>
      <c r="B749" s="168"/>
    </row>
    <row r="750">
      <c r="A750" s="127"/>
      <c r="B750" s="168"/>
    </row>
    <row r="751">
      <c r="A751" s="127"/>
      <c r="B751" s="168"/>
    </row>
    <row r="752">
      <c r="A752" s="127"/>
      <c r="B752" s="168"/>
    </row>
    <row r="753">
      <c r="A753" s="127"/>
      <c r="B753" s="168"/>
    </row>
    <row r="754">
      <c r="A754" s="127"/>
      <c r="B754" s="168"/>
    </row>
    <row r="755">
      <c r="A755" s="127"/>
      <c r="B755" s="168"/>
    </row>
    <row r="756">
      <c r="A756" s="127"/>
      <c r="B756" s="168"/>
    </row>
    <row r="757">
      <c r="A757" s="127"/>
      <c r="B757" s="168"/>
    </row>
    <row r="758">
      <c r="A758" s="127"/>
      <c r="B758" s="168"/>
    </row>
    <row r="759">
      <c r="A759" s="127"/>
      <c r="B759" s="168"/>
    </row>
    <row r="760">
      <c r="A760" s="127"/>
      <c r="B760" s="168"/>
    </row>
    <row r="761">
      <c r="A761" s="127"/>
      <c r="B761" s="168"/>
    </row>
    <row r="762">
      <c r="A762" s="127"/>
      <c r="B762" s="168"/>
    </row>
    <row r="763">
      <c r="A763" s="127"/>
      <c r="B763" s="168"/>
    </row>
    <row r="764">
      <c r="A764" s="127"/>
      <c r="B764" s="168"/>
    </row>
    <row r="765">
      <c r="A765" s="127"/>
      <c r="B765" s="168"/>
    </row>
    <row r="766">
      <c r="A766" s="127"/>
      <c r="B766" s="168"/>
    </row>
    <row r="767">
      <c r="A767" s="127"/>
      <c r="B767" s="168"/>
    </row>
    <row r="768">
      <c r="A768" s="127"/>
      <c r="B768" s="168"/>
    </row>
    <row r="769">
      <c r="A769" s="127"/>
      <c r="B769" s="168"/>
    </row>
    <row r="770">
      <c r="A770" s="127"/>
      <c r="B770" s="168"/>
    </row>
    <row r="771">
      <c r="A771" s="127"/>
      <c r="B771" s="168"/>
    </row>
    <row r="772">
      <c r="A772" s="127"/>
      <c r="B772" s="168"/>
    </row>
    <row r="773">
      <c r="A773" s="127"/>
      <c r="B773" s="168"/>
    </row>
    <row r="774">
      <c r="A774" s="127"/>
      <c r="B774" s="168"/>
    </row>
    <row r="775">
      <c r="A775" s="127"/>
      <c r="B775" s="168"/>
    </row>
    <row r="776">
      <c r="A776" s="127"/>
      <c r="B776" s="168"/>
    </row>
    <row r="777">
      <c r="A777" s="127"/>
      <c r="B777" s="168"/>
    </row>
    <row r="778">
      <c r="A778" s="127"/>
      <c r="B778" s="168"/>
    </row>
    <row r="779">
      <c r="A779" s="127"/>
      <c r="B779" s="168"/>
    </row>
    <row r="780">
      <c r="A780" s="127"/>
      <c r="B780" s="168"/>
    </row>
    <row r="781">
      <c r="A781" s="127"/>
      <c r="B781" s="168"/>
    </row>
    <row r="782">
      <c r="A782" s="127"/>
      <c r="B782" s="168"/>
    </row>
    <row r="783">
      <c r="A783" s="127"/>
      <c r="B783" s="168"/>
    </row>
    <row r="784">
      <c r="A784" s="127"/>
      <c r="B784" s="168"/>
    </row>
    <row r="785">
      <c r="A785" s="127"/>
      <c r="B785" s="168"/>
    </row>
    <row r="786">
      <c r="A786" s="127"/>
      <c r="B786" s="168"/>
    </row>
    <row r="787">
      <c r="A787" s="127"/>
      <c r="B787" s="168"/>
    </row>
    <row r="788">
      <c r="A788" s="127"/>
      <c r="B788" s="168"/>
    </row>
    <row r="789">
      <c r="A789" s="127"/>
      <c r="B789" s="168"/>
    </row>
    <row r="790">
      <c r="A790" s="127"/>
      <c r="B790" s="168"/>
    </row>
    <row r="791">
      <c r="A791" s="127"/>
      <c r="B791" s="168"/>
    </row>
    <row r="792">
      <c r="A792" s="127"/>
      <c r="B792" s="168"/>
    </row>
    <row r="793">
      <c r="A793" s="127"/>
      <c r="B793" s="168"/>
    </row>
    <row r="794">
      <c r="A794" s="127"/>
      <c r="B794" s="168"/>
    </row>
    <row r="795">
      <c r="A795" s="127"/>
      <c r="B795" s="168"/>
    </row>
    <row r="796">
      <c r="A796" s="127"/>
      <c r="B796" s="168"/>
    </row>
    <row r="797">
      <c r="A797" s="127"/>
      <c r="B797" s="168"/>
    </row>
    <row r="798">
      <c r="A798" s="127"/>
      <c r="B798" s="168"/>
    </row>
    <row r="799">
      <c r="A799" s="127"/>
      <c r="B799" s="168"/>
    </row>
    <row r="800">
      <c r="A800" s="127"/>
      <c r="B800" s="168"/>
    </row>
    <row r="801">
      <c r="A801" s="127"/>
      <c r="B801" s="168"/>
    </row>
    <row r="802">
      <c r="A802" s="127"/>
      <c r="B802" s="168"/>
    </row>
    <row r="803">
      <c r="A803" s="127"/>
      <c r="B803" s="168"/>
    </row>
    <row r="804">
      <c r="A804" s="127"/>
      <c r="B804" s="168"/>
    </row>
    <row r="805">
      <c r="A805" s="127"/>
      <c r="B805" s="168"/>
    </row>
    <row r="806">
      <c r="A806" s="127"/>
      <c r="B806" s="168"/>
    </row>
    <row r="807">
      <c r="A807" s="127"/>
      <c r="B807" s="168"/>
    </row>
    <row r="808">
      <c r="A808" s="127"/>
      <c r="B808" s="168"/>
    </row>
    <row r="809">
      <c r="A809" s="127"/>
      <c r="B809" s="168"/>
    </row>
    <row r="810">
      <c r="A810" s="127"/>
      <c r="B810" s="168"/>
    </row>
    <row r="811">
      <c r="A811" s="127"/>
      <c r="B811" s="168"/>
    </row>
    <row r="812">
      <c r="A812" s="127"/>
      <c r="B812" s="168"/>
    </row>
    <row r="813">
      <c r="A813" s="127"/>
      <c r="B813" s="168"/>
    </row>
    <row r="814">
      <c r="A814" s="127"/>
      <c r="B814" s="168"/>
    </row>
    <row r="815">
      <c r="A815" s="127"/>
      <c r="B815" s="168"/>
    </row>
    <row r="816">
      <c r="A816" s="127"/>
      <c r="B816" s="168"/>
    </row>
    <row r="817">
      <c r="A817" s="127"/>
      <c r="B817" s="168"/>
    </row>
    <row r="818">
      <c r="A818" s="127"/>
      <c r="B818" s="168"/>
    </row>
    <row r="819">
      <c r="A819" s="127"/>
      <c r="B819" s="168"/>
    </row>
    <row r="820">
      <c r="A820" s="127"/>
      <c r="B820" s="168"/>
    </row>
    <row r="821">
      <c r="A821" s="127"/>
      <c r="B821" s="168"/>
    </row>
    <row r="822">
      <c r="A822" s="127"/>
      <c r="B822" s="168"/>
    </row>
    <row r="823">
      <c r="A823" s="127"/>
      <c r="B823" s="168"/>
    </row>
    <row r="824">
      <c r="A824" s="127"/>
      <c r="B824" s="168"/>
    </row>
    <row r="825">
      <c r="A825" s="127"/>
      <c r="B825" s="168"/>
    </row>
    <row r="826">
      <c r="A826" s="127"/>
      <c r="B826" s="168"/>
    </row>
    <row r="827">
      <c r="A827" s="127"/>
      <c r="B827" s="168"/>
    </row>
    <row r="828">
      <c r="A828" s="127"/>
      <c r="B828" s="168"/>
    </row>
    <row r="829">
      <c r="A829" s="127"/>
      <c r="B829" s="168"/>
    </row>
    <row r="830">
      <c r="A830" s="127"/>
      <c r="B830" s="168"/>
    </row>
    <row r="831">
      <c r="A831" s="127"/>
      <c r="B831" s="168"/>
    </row>
    <row r="832">
      <c r="A832" s="127"/>
      <c r="B832" s="168"/>
    </row>
    <row r="833">
      <c r="A833" s="127"/>
      <c r="B833" s="168"/>
    </row>
    <row r="834">
      <c r="A834" s="127"/>
      <c r="B834" s="168"/>
    </row>
    <row r="835">
      <c r="A835" s="127"/>
      <c r="B835" s="168"/>
    </row>
    <row r="836">
      <c r="A836" s="127"/>
      <c r="B836" s="168"/>
    </row>
    <row r="837">
      <c r="A837" s="127"/>
      <c r="B837" s="168"/>
    </row>
    <row r="838">
      <c r="A838" s="127"/>
      <c r="B838" s="168"/>
    </row>
    <row r="839">
      <c r="A839" s="127"/>
      <c r="B839" s="168"/>
    </row>
    <row r="840">
      <c r="A840" s="127"/>
      <c r="B840" s="168"/>
    </row>
    <row r="841">
      <c r="A841" s="127"/>
      <c r="B841" s="168"/>
    </row>
    <row r="842">
      <c r="A842" s="127"/>
      <c r="B842" s="168"/>
    </row>
    <row r="843">
      <c r="A843" s="127"/>
      <c r="B843" s="168"/>
    </row>
    <row r="844">
      <c r="A844" s="127"/>
      <c r="B844" s="168"/>
    </row>
    <row r="845">
      <c r="A845" s="127"/>
      <c r="B845" s="168"/>
    </row>
    <row r="846">
      <c r="A846" s="127"/>
      <c r="B846" s="168"/>
    </row>
    <row r="847">
      <c r="A847" s="127"/>
      <c r="B847" s="168"/>
    </row>
    <row r="848">
      <c r="A848" s="127"/>
      <c r="B848" s="168"/>
    </row>
    <row r="849">
      <c r="A849" s="127"/>
      <c r="B849" s="168"/>
    </row>
    <row r="850">
      <c r="A850" s="127"/>
      <c r="B850" s="168"/>
    </row>
    <row r="851">
      <c r="A851" s="127"/>
      <c r="B851" s="168"/>
    </row>
    <row r="852">
      <c r="A852" s="127"/>
      <c r="B852" s="168"/>
    </row>
    <row r="853">
      <c r="A853" s="127"/>
      <c r="B853" s="168"/>
    </row>
    <row r="854">
      <c r="A854" s="127"/>
      <c r="B854" s="168"/>
    </row>
    <row r="855">
      <c r="A855" s="127"/>
      <c r="B855" s="168"/>
    </row>
    <row r="856">
      <c r="A856" s="127"/>
      <c r="B856" s="168"/>
    </row>
    <row r="857">
      <c r="A857" s="127"/>
      <c r="B857" s="168"/>
    </row>
    <row r="858">
      <c r="A858" s="127"/>
      <c r="B858" s="168"/>
    </row>
    <row r="859">
      <c r="A859" s="127"/>
      <c r="B859" s="168"/>
    </row>
    <row r="860">
      <c r="A860" s="127"/>
      <c r="B860" s="168"/>
    </row>
    <row r="861">
      <c r="A861" s="127"/>
      <c r="B861" s="168"/>
    </row>
    <row r="862">
      <c r="A862" s="127"/>
      <c r="B862" s="168"/>
    </row>
    <row r="863">
      <c r="A863" s="127"/>
      <c r="B863" s="168"/>
    </row>
    <row r="864">
      <c r="A864" s="127"/>
      <c r="B864" s="168"/>
    </row>
    <row r="865">
      <c r="A865" s="127"/>
      <c r="B865" s="168"/>
    </row>
    <row r="866">
      <c r="A866" s="127"/>
      <c r="B866" s="168"/>
    </row>
    <row r="867">
      <c r="A867" s="127"/>
      <c r="B867" s="168"/>
    </row>
    <row r="868">
      <c r="A868" s="127"/>
      <c r="B868" s="168"/>
    </row>
    <row r="869">
      <c r="A869" s="127"/>
      <c r="B869" s="168"/>
    </row>
    <row r="870">
      <c r="A870" s="127"/>
      <c r="B870" s="168"/>
    </row>
    <row r="871">
      <c r="A871" s="127"/>
      <c r="B871" s="168"/>
    </row>
    <row r="872">
      <c r="A872" s="127"/>
      <c r="B872" s="168"/>
    </row>
    <row r="873">
      <c r="A873" s="127"/>
      <c r="B873" s="168"/>
    </row>
    <row r="874">
      <c r="A874" s="127"/>
      <c r="B874" s="168"/>
    </row>
    <row r="875">
      <c r="A875" s="127"/>
      <c r="B875" s="168"/>
    </row>
    <row r="876">
      <c r="A876" s="127"/>
      <c r="B876" s="168"/>
    </row>
    <row r="877">
      <c r="A877" s="127"/>
      <c r="B877" s="168"/>
    </row>
    <row r="878">
      <c r="A878" s="127"/>
      <c r="B878" s="168"/>
    </row>
    <row r="879">
      <c r="A879" s="127"/>
      <c r="B879" s="168"/>
    </row>
    <row r="880">
      <c r="A880" s="127"/>
      <c r="B880" s="168"/>
    </row>
    <row r="881">
      <c r="A881" s="127"/>
      <c r="B881" s="168"/>
    </row>
    <row r="882">
      <c r="A882" s="127"/>
      <c r="B882" s="168"/>
    </row>
    <row r="883">
      <c r="A883" s="127"/>
      <c r="B883" s="168"/>
    </row>
    <row r="884">
      <c r="A884" s="127"/>
      <c r="B884" s="168"/>
    </row>
    <row r="885">
      <c r="A885" s="127"/>
      <c r="B885" s="168"/>
    </row>
    <row r="886">
      <c r="A886" s="127"/>
      <c r="B886" s="168"/>
    </row>
    <row r="887">
      <c r="A887" s="127"/>
      <c r="B887" s="168"/>
    </row>
    <row r="888">
      <c r="A888" s="127"/>
      <c r="B888" s="168"/>
    </row>
    <row r="889">
      <c r="A889" s="127"/>
      <c r="B889" s="168"/>
    </row>
    <row r="890">
      <c r="A890" s="127"/>
      <c r="B890" s="168"/>
    </row>
    <row r="891">
      <c r="A891" s="127"/>
      <c r="B891" s="168"/>
    </row>
    <row r="892">
      <c r="A892" s="127"/>
      <c r="B892" s="168"/>
    </row>
    <row r="893">
      <c r="A893" s="127"/>
      <c r="B893" s="168"/>
    </row>
    <row r="894">
      <c r="A894" s="127"/>
      <c r="B894" s="168"/>
    </row>
    <row r="895">
      <c r="A895" s="127"/>
      <c r="B895" s="168"/>
    </row>
    <row r="896">
      <c r="A896" s="127"/>
      <c r="B896" s="168"/>
    </row>
    <row r="897">
      <c r="A897" s="127"/>
      <c r="B897" s="168"/>
    </row>
    <row r="898">
      <c r="A898" s="127"/>
      <c r="B898" s="168"/>
    </row>
    <row r="899">
      <c r="A899" s="127"/>
      <c r="B899" s="168"/>
    </row>
    <row r="900">
      <c r="A900" s="127"/>
      <c r="B900" s="168"/>
    </row>
    <row r="901">
      <c r="A901" s="127"/>
      <c r="B901" s="168"/>
    </row>
    <row r="902">
      <c r="A902" s="127"/>
      <c r="B902" s="168"/>
    </row>
    <row r="903">
      <c r="A903" s="127"/>
      <c r="B903" s="168"/>
    </row>
    <row r="904">
      <c r="A904" s="127"/>
      <c r="B904" s="168"/>
    </row>
    <row r="905">
      <c r="A905" s="127"/>
      <c r="B905" s="168"/>
    </row>
    <row r="906">
      <c r="A906" s="127"/>
      <c r="B906" s="168"/>
    </row>
    <row r="907">
      <c r="A907" s="127"/>
      <c r="B907" s="168"/>
    </row>
    <row r="908">
      <c r="A908" s="127"/>
      <c r="B908" s="168"/>
    </row>
    <row r="909">
      <c r="A909" s="127"/>
      <c r="B909" s="168"/>
    </row>
    <row r="910">
      <c r="A910" s="127"/>
      <c r="B910" s="168"/>
    </row>
    <row r="911">
      <c r="A911" s="127"/>
      <c r="B911" s="168"/>
    </row>
    <row r="912">
      <c r="A912" s="127"/>
      <c r="B912" s="168"/>
    </row>
    <row r="913">
      <c r="A913" s="127"/>
      <c r="B913" s="168"/>
    </row>
    <row r="914">
      <c r="A914" s="127"/>
      <c r="B914" s="168"/>
    </row>
    <row r="915">
      <c r="A915" s="127"/>
      <c r="B915" s="168"/>
    </row>
    <row r="916">
      <c r="A916" s="127"/>
      <c r="B916" s="168"/>
    </row>
    <row r="917">
      <c r="A917" s="127"/>
      <c r="B917" s="168"/>
    </row>
    <row r="918">
      <c r="A918" s="127"/>
      <c r="B918" s="168"/>
    </row>
    <row r="919">
      <c r="A919" s="127"/>
      <c r="B919" s="168"/>
    </row>
    <row r="920">
      <c r="A920" s="127"/>
      <c r="B920" s="168"/>
    </row>
    <row r="921">
      <c r="A921" s="127"/>
      <c r="B921" s="168"/>
    </row>
    <row r="922">
      <c r="A922" s="127"/>
      <c r="B922" s="168"/>
    </row>
    <row r="923">
      <c r="A923" s="127"/>
      <c r="B923" s="168"/>
    </row>
    <row r="924">
      <c r="A924" s="127"/>
      <c r="B924" s="168"/>
    </row>
    <row r="925">
      <c r="A925" s="127"/>
      <c r="B925" s="168"/>
    </row>
    <row r="926">
      <c r="A926" s="127"/>
      <c r="B926" s="168"/>
    </row>
    <row r="927">
      <c r="A927" s="127"/>
      <c r="B927" s="168"/>
    </row>
    <row r="928">
      <c r="A928" s="127"/>
      <c r="B928" s="168"/>
    </row>
    <row r="929">
      <c r="A929" s="127"/>
      <c r="B929" s="168"/>
    </row>
    <row r="930">
      <c r="A930" s="127"/>
      <c r="B930" s="168"/>
    </row>
    <row r="931">
      <c r="A931" s="127"/>
      <c r="B931" s="168"/>
    </row>
    <row r="932">
      <c r="A932" s="127"/>
      <c r="B932" s="168"/>
    </row>
    <row r="933">
      <c r="A933" s="127"/>
      <c r="B933" s="168"/>
    </row>
    <row r="934">
      <c r="A934" s="127"/>
      <c r="B934" s="168"/>
    </row>
    <row r="935">
      <c r="A935" s="127"/>
      <c r="B935" s="168"/>
    </row>
    <row r="936">
      <c r="A936" s="127"/>
      <c r="B936" s="168"/>
    </row>
    <row r="937">
      <c r="A937" s="127"/>
      <c r="B937" s="168"/>
    </row>
    <row r="938">
      <c r="A938" s="127"/>
      <c r="B938" s="168"/>
    </row>
    <row r="939">
      <c r="A939" s="127"/>
      <c r="B939" s="168"/>
    </row>
    <row r="940">
      <c r="A940" s="127"/>
      <c r="B940" s="168"/>
    </row>
    <row r="941">
      <c r="A941" s="127"/>
      <c r="B941" s="168"/>
    </row>
    <row r="942">
      <c r="A942" s="127"/>
      <c r="B942" s="168"/>
    </row>
    <row r="943">
      <c r="A943" s="127"/>
      <c r="B943" s="168"/>
    </row>
    <row r="944">
      <c r="A944" s="127"/>
      <c r="B944" s="168"/>
    </row>
    <row r="945">
      <c r="A945" s="127"/>
      <c r="B945" s="168"/>
    </row>
    <row r="946">
      <c r="A946" s="127"/>
      <c r="B946" s="168"/>
    </row>
    <row r="947">
      <c r="A947" s="127"/>
      <c r="B947" s="168"/>
    </row>
    <row r="948">
      <c r="A948" s="127"/>
      <c r="B948" s="168"/>
    </row>
    <row r="949">
      <c r="A949" s="127"/>
      <c r="B949" s="168"/>
    </row>
    <row r="950">
      <c r="A950" s="127"/>
      <c r="B950" s="168"/>
    </row>
    <row r="951">
      <c r="A951" s="127"/>
      <c r="B951" s="168"/>
    </row>
    <row r="952">
      <c r="A952" s="127"/>
      <c r="B952" s="168"/>
    </row>
    <row r="953">
      <c r="A953" s="127"/>
      <c r="B953" s="168"/>
    </row>
    <row r="954">
      <c r="A954" s="127"/>
      <c r="B954" s="168"/>
    </row>
    <row r="955">
      <c r="A955" s="127"/>
      <c r="B955" s="168"/>
    </row>
    <row r="956">
      <c r="A956" s="127"/>
      <c r="B956" s="168"/>
    </row>
    <row r="957">
      <c r="A957" s="127"/>
      <c r="B957" s="168"/>
    </row>
    <row r="958">
      <c r="A958" s="127"/>
      <c r="B958" s="168"/>
    </row>
    <row r="959">
      <c r="A959" s="127"/>
      <c r="B959" s="168"/>
    </row>
    <row r="960">
      <c r="A960" s="127"/>
      <c r="B960" s="168"/>
    </row>
    <row r="961">
      <c r="A961" s="127"/>
      <c r="B961" s="168"/>
    </row>
    <row r="962">
      <c r="A962" s="127"/>
      <c r="B962" s="168"/>
    </row>
    <row r="963">
      <c r="A963" s="127"/>
      <c r="B963" s="168"/>
    </row>
    <row r="964">
      <c r="A964" s="127"/>
      <c r="B964" s="168"/>
    </row>
    <row r="965">
      <c r="A965" s="127"/>
      <c r="B965" s="168"/>
    </row>
    <row r="966">
      <c r="A966" s="127"/>
      <c r="B966" s="168"/>
    </row>
    <row r="967">
      <c r="A967" s="127"/>
      <c r="B967" s="168"/>
    </row>
    <row r="968">
      <c r="A968" s="127"/>
      <c r="B968" s="168"/>
    </row>
    <row r="969">
      <c r="A969" s="127"/>
      <c r="B969" s="168"/>
    </row>
    <row r="970">
      <c r="A970" s="127"/>
      <c r="B970" s="168"/>
    </row>
    <row r="971">
      <c r="A971" s="127"/>
      <c r="B971" s="168"/>
    </row>
    <row r="972">
      <c r="A972" s="127"/>
      <c r="B972" s="168"/>
    </row>
    <row r="973">
      <c r="A973" s="127"/>
      <c r="B973" s="168"/>
    </row>
    <row r="974">
      <c r="A974" s="127"/>
      <c r="B974" s="168"/>
    </row>
    <row r="975">
      <c r="A975" s="127"/>
      <c r="B975" s="168"/>
    </row>
    <row r="976">
      <c r="A976" s="127"/>
      <c r="B976" s="168"/>
    </row>
    <row r="977">
      <c r="A977" s="127"/>
      <c r="B977" s="168"/>
    </row>
    <row r="978">
      <c r="A978" s="127"/>
      <c r="B978" s="168"/>
    </row>
    <row r="979">
      <c r="A979" s="127"/>
      <c r="B979" s="168"/>
    </row>
    <row r="980">
      <c r="A980" s="127"/>
      <c r="B980" s="168"/>
    </row>
    <row r="981">
      <c r="A981" s="127"/>
      <c r="B981" s="168"/>
    </row>
    <row r="982">
      <c r="A982" s="127"/>
      <c r="B982" s="168"/>
    </row>
    <row r="983">
      <c r="A983" s="127"/>
      <c r="B983" s="168"/>
    </row>
    <row r="984">
      <c r="A984" s="127"/>
      <c r="B984" s="168"/>
    </row>
    <row r="985">
      <c r="A985" s="127"/>
      <c r="B985" s="168"/>
    </row>
    <row r="986">
      <c r="A986" s="127"/>
      <c r="B986" s="168"/>
    </row>
    <row r="987">
      <c r="A987" s="127"/>
      <c r="B987" s="168"/>
    </row>
    <row r="988">
      <c r="A988" s="127"/>
      <c r="B988" s="168"/>
    </row>
    <row r="989">
      <c r="A989" s="127"/>
      <c r="B989" s="168"/>
    </row>
    <row r="990">
      <c r="A990" s="127"/>
      <c r="B990" s="168"/>
    </row>
    <row r="991">
      <c r="A991" s="127"/>
      <c r="B991" s="168"/>
    </row>
    <row r="992">
      <c r="A992" s="127"/>
      <c r="B992" s="168"/>
    </row>
    <row r="993">
      <c r="A993" s="127"/>
      <c r="B993" s="168"/>
    </row>
    <row r="994">
      <c r="A994" s="127"/>
      <c r="B994" s="168"/>
    </row>
    <row r="995">
      <c r="A995" s="127"/>
      <c r="B995" s="168"/>
    </row>
    <row r="996">
      <c r="A996" s="127"/>
      <c r="B996" s="168"/>
    </row>
    <row r="997">
      <c r="A997" s="127"/>
      <c r="B997" s="168"/>
    </row>
    <row r="998">
      <c r="A998" s="127"/>
      <c r="B998" s="168"/>
    </row>
    <row r="999">
      <c r="A999" s="127"/>
      <c r="B999" s="168"/>
    </row>
    <row r="1000">
      <c r="A1000" s="127"/>
      <c r="B1000" s="168"/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16" t="s">
        <v>189</v>
      </c>
      <c r="B1" s="116" t="s">
        <v>53</v>
      </c>
    </row>
    <row r="2">
      <c r="A2" s="129">
        <f t="array" ref="A2:A4">SORT(UNIQUE(IF(ISBLANK('Daily Hours'!A2:A1000),, EOMONTH('Daily Hours'!A2:A1000, -1)+1)))</f>
        <v>46204</v>
      </c>
      <c r="B2" s="168">
        <f t="array" ref="B2:B1000">IF(ISBLANK(A2:A1000),, SUMIFS('Daily Hours'!B2:B1000, 'Daily Hours'!A2:A1000, "&gt;="&amp;A2:A1000, 'Daily Hours'!A2:A1000, "&lt;="&amp;EOMONTH(A2:A1000, 0)))</f>
        <v>10.66361111</v>
      </c>
    </row>
    <row r="3">
      <c r="A3" s="129">
        <v>46235.0</v>
      </c>
      <c r="B3" s="168">
        <v>10.66361111111109</v>
      </c>
    </row>
    <row r="4">
      <c r="A4" s="129"/>
      <c r="B4" s="168"/>
    </row>
    <row r="5">
      <c r="A5" s="129"/>
      <c r="B5" s="168"/>
    </row>
    <row r="6">
      <c r="A6" s="129"/>
      <c r="B6" s="168"/>
    </row>
    <row r="7">
      <c r="A7" s="129"/>
      <c r="B7" s="168"/>
    </row>
    <row r="8">
      <c r="A8" s="129"/>
      <c r="B8" s="168"/>
    </row>
    <row r="9">
      <c r="A9" s="129"/>
      <c r="B9" s="168"/>
    </row>
    <row r="10">
      <c r="A10" s="129"/>
      <c r="B10" s="168"/>
    </row>
    <row r="11">
      <c r="A11" s="129"/>
      <c r="B11" s="168"/>
    </row>
    <row r="12">
      <c r="A12" s="129"/>
      <c r="B12" s="168"/>
    </row>
    <row r="13">
      <c r="A13" s="129"/>
      <c r="B13" s="168"/>
    </row>
    <row r="14">
      <c r="A14" s="129"/>
      <c r="B14" s="168"/>
    </row>
    <row r="15">
      <c r="A15" s="129"/>
      <c r="B15" s="168"/>
    </row>
    <row r="16">
      <c r="B16" s="64"/>
    </row>
    <row r="17">
      <c r="B17" s="64"/>
    </row>
    <row r="18">
      <c r="B18" s="64"/>
    </row>
    <row r="19">
      <c r="B19" s="64"/>
    </row>
    <row r="20">
      <c r="B20" s="64"/>
    </row>
    <row r="21">
      <c r="B21" s="64"/>
    </row>
    <row r="22">
      <c r="B22" s="64"/>
    </row>
    <row r="23">
      <c r="B23" s="64"/>
    </row>
    <row r="24">
      <c r="B24" s="64"/>
    </row>
    <row r="25">
      <c r="B25" s="64"/>
    </row>
    <row r="26">
      <c r="B26" s="64"/>
    </row>
    <row r="27">
      <c r="B27" s="64"/>
    </row>
    <row r="28">
      <c r="B28" s="64"/>
    </row>
    <row r="29">
      <c r="B29" s="64"/>
    </row>
    <row r="30">
      <c r="B30" s="64"/>
    </row>
    <row r="31">
      <c r="B31" s="64"/>
    </row>
    <row r="32">
      <c r="B32" s="64"/>
    </row>
    <row r="33">
      <c r="B33" s="64"/>
    </row>
    <row r="34">
      <c r="B34" s="64"/>
    </row>
    <row r="35">
      <c r="B35" s="64"/>
    </row>
    <row r="36">
      <c r="B36" s="64"/>
    </row>
    <row r="37">
      <c r="B37" s="64"/>
    </row>
    <row r="38">
      <c r="B38" s="64"/>
    </row>
    <row r="39">
      <c r="B39" s="64"/>
    </row>
    <row r="40">
      <c r="B40" s="64"/>
    </row>
    <row r="41">
      <c r="B41" s="64"/>
    </row>
    <row r="42">
      <c r="B42" s="64"/>
    </row>
    <row r="43">
      <c r="B43" s="64"/>
    </row>
    <row r="44">
      <c r="B44" s="64"/>
    </row>
    <row r="45">
      <c r="B45" s="64"/>
    </row>
    <row r="46">
      <c r="B46" s="64"/>
    </row>
    <row r="47">
      <c r="B47" s="64"/>
    </row>
    <row r="48">
      <c r="B48" s="64"/>
    </row>
    <row r="49">
      <c r="B49" s="64"/>
    </row>
    <row r="50">
      <c r="B50" s="64"/>
    </row>
    <row r="51">
      <c r="B51" s="64"/>
    </row>
    <row r="52">
      <c r="B52" s="64"/>
    </row>
    <row r="53">
      <c r="B53" s="64"/>
    </row>
    <row r="54">
      <c r="B54" s="64"/>
    </row>
    <row r="55">
      <c r="B55" s="64"/>
    </row>
    <row r="56">
      <c r="B56" s="64"/>
    </row>
    <row r="57">
      <c r="B57" s="64"/>
    </row>
    <row r="58">
      <c r="B58" s="64"/>
    </row>
    <row r="59">
      <c r="B59" s="64"/>
    </row>
    <row r="60">
      <c r="B60" s="64"/>
    </row>
    <row r="61">
      <c r="B61" s="64"/>
    </row>
    <row r="62">
      <c r="B62" s="64"/>
    </row>
    <row r="63">
      <c r="B63" s="64"/>
    </row>
    <row r="64">
      <c r="B64" s="64"/>
    </row>
    <row r="65">
      <c r="B65" s="64"/>
    </row>
    <row r="66">
      <c r="B66" s="64"/>
    </row>
    <row r="67">
      <c r="B67" s="64"/>
    </row>
    <row r="68">
      <c r="B68" s="64"/>
    </row>
    <row r="69">
      <c r="B69" s="64"/>
    </row>
    <row r="70">
      <c r="B70" s="64"/>
    </row>
    <row r="71">
      <c r="B71" s="64"/>
    </row>
    <row r="72">
      <c r="B72" s="64"/>
    </row>
    <row r="73">
      <c r="B73" s="64"/>
    </row>
    <row r="74">
      <c r="B74" s="64"/>
    </row>
    <row r="75">
      <c r="B75" s="64"/>
    </row>
    <row r="76">
      <c r="B76" s="64"/>
    </row>
    <row r="77">
      <c r="B77" s="64"/>
    </row>
    <row r="78">
      <c r="B78" s="64"/>
    </row>
    <row r="79">
      <c r="B79" s="64"/>
    </row>
    <row r="80">
      <c r="B80" s="64"/>
    </row>
    <row r="81">
      <c r="B81" s="64"/>
    </row>
    <row r="82">
      <c r="B82" s="64"/>
    </row>
    <row r="83">
      <c r="B83" s="64"/>
    </row>
    <row r="84">
      <c r="B84" s="64"/>
    </row>
    <row r="85">
      <c r="B85" s="64"/>
    </row>
    <row r="86">
      <c r="B86" s="64"/>
    </row>
    <row r="87">
      <c r="B87" s="64"/>
    </row>
    <row r="88">
      <c r="B88" s="64"/>
    </row>
    <row r="89">
      <c r="B89" s="64"/>
    </row>
    <row r="90">
      <c r="B90" s="64"/>
    </row>
    <row r="91">
      <c r="B91" s="64"/>
    </row>
    <row r="92">
      <c r="B92" s="64"/>
    </row>
    <row r="93">
      <c r="B93" s="64"/>
    </row>
    <row r="94">
      <c r="B94" s="64"/>
    </row>
    <row r="95">
      <c r="B95" s="64"/>
    </row>
    <row r="96">
      <c r="B96" s="64"/>
    </row>
    <row r="97">
      <c r="B97" s="64"/>
    </row>
    <row r="98">
      <c r="B98" s="64"/>
    </row>
    <row r="99">
      <c r="B99" s="64"/>
    </row>
    <row r="100">
      <c r="B100" s="64"/>
    </row>
    <row r="101">
      <c r="B101" s="64"/>
    </row>
    <row r="102">
      <c r="B102" s="64"/>
    </row>
    <row r="103">
      <c r="B103" s="64"/>
    </row>
    <row r="104">
      <c r="B104" s="64"/>
    </row>
    <row r="105">
      <c r="B105" s="64"/>
    </row>
    <row r="106">
      <c r="B106" s="64"/>
    </row>
    <row r="107">
      <c r="B107" s="64"/>
    </row>
    <row r="108">
      <c r="B108" s="64"/>
    </row>
    <row r="109">
      <c r="B109" s="64"/>
    </row>
    <row r="110">
      <c r="B110" s="64"/>
    </row>
    <row r="111">
      <c r="B111" s="64"/>
    </row>
    <row r="112">
      <c r="B112" s="64"/>
    </row>
    <row r="113">
      <c r="B113" s="64"/>
    </row>
    <row r="114">
      <c r="B114" s="64"/>
    </row>
    <row r="115">
      <c r="B115" s="64"/>
    </row>
    <row r="116">
      <c r="B116" s="64"/>
    </row>
    <row r="117">
      <c r="B117" s="64"/>
    </row>
    <row r="118">
      <c r="B118" s="64"/>
    </row>
    <row r="119">
      <c r="B119" s="64"/>
    </row>
    <row r="120">
      <c r="B120" s="64"/>
    </row>
    <row r="121">
      <c r="B121" s="64"/>
    </row>
    <row r="122">
      <c r="B122" s="64"/>
    </row>
    <row r="123">
      <c r="B123" s="64"/>
    </row>
    <row r="124">
      <c r="B124" s="64"/>
    </row>
    <row r="125">
      <c r="B125" s="64"/>
    </row>
    <row r="126">
      <c r="B126" s="64"/>
    </row>
    <row r="127">
      <c r="B127" s="64"/>
    </row>
    <row r="128">
      <c r="B128" s="64"/>
    </row>
    <row r="129">
      <c r="B129" s="64"/>
    </row>
    <row r="130">
      <c r="B130" s="64"/>
    </row>
    <row r="131">
      <c r="B131" s="64"/>
    </row>
    <row r="132">
      <c r="B132" s="64"/>
    </row>
    <row r="133">
      <c r="B133" s="64"/>
    </row>
    <row r="134">
      <c r="B134" s="64"/>
    </row>
    <row r="135">
      <c r="B135" s="64"/>
    </row>
    <row r="136">
      <c r="B136" s="64"/>
    </row>
    <row r="137">
      <c r="B137" s="64"/>
    </row>
    <row r="138">
      <c r="B138" s="64"/>
    </row>
    <row r="139">
      <c r="B139" s="64"/>
    </row>
    <row r="140">
      <c r="B140" s="64"/>
    </row>
    <row r="141">
      <c r="B141" s="64"/>
    </row>
    <row r="142">
      <c r="B142" s="64"/>
    </row>
    <row r="143">
      <c r="B143" s="64"/>
    </row>
    <row r="144">
      <c r="B144" s="64"/>
    </row>
    <row r="145">
      <c r="B145" s="64"/>
    </row>
    <row r="146">
      <c r="B146" s="64"/>
    </row>
    <row r="147">
      <c r="B147" s="64"/>
    </row>
    <row r="148">
      <c r="B148" s="64"/>
    </row>
    <row r="149">
      <c r="B149" s="64"/>
    </row>
    <row r="150">
      <c r="B150" s="64"/>
    </row>
    <row r="151">
      <c r="B151" s="64"/>
    </row>
    <row r="152">
      <c r="B152" s="64"/>
    </row>
    <row r="153">
      <c r="B153" s="64"/>
    </row>
    <row r="154">
      <c r="B154" s="64"/>
    </row>
    <row r="155">
      <c r="B155" s="64"/>
    </row>
    <row r="156">
      <c r="B156" s="64"/>
    </row>
    <row r="157">
      <c r="B157" s="64"/>
    </row>
    <row r="158">
      <c r="B158" s="64"/>
    </row>
    <row r="159">
      <c r="B159" s="64"/>
    </row>
    <row r="160">
      <c r="B160" s="64"/>
    </row>
    <row r="161">
      <c r="B161" s="64"/>
    </row>
    <row r="162">
      <c r="B162" s="64"/>
    </row>
    <row r="163">
      <c r="B163" s="64"/>
    </row>
    <row r="164">
      <c r="B164" s="64"/>
    </row>
    <row r="165">
      <c r="B165" s="64"/>
    </row>
    <row r="166">
      <c r="B166" s="64"/>
    </row>
    <row r="167">
      <c r="B167" s="64"/>
    </row>
    <row r="168">
      <c r="B168" s="64"/>
    </row>
    <row r="169">
      <c r="B169" s="64"/>
    </row>
    <row r="170">
      <c r="B170" s="64"/>
    </row>
    <row r="171">
      <c r="B171" s="64"/>
    </row>
    <row r="172">
      <c r="B172" s="64"/>
    </row>
    <row r="173">
      <c r="B173" s="64"/>
    </row>
    <row r="174">
      <c r="B174" s="64"/>
    </row>
    <row r="175">
      <c r="B175" s="64"/>
    </row>
    <row r="176">
      <c r="B176" s="64"/>
    </row>
    <row r="177">
      <c r="B177" s="64"/>
    </row>
    <row r="178">
      <c r="B178" s="64"/>
    </row>
    <row r="179">
      <c r="B179" s="64"/>
    </row>
    <row r="180">
      <c r="B180" s="64"/>
    </row>
    <row r="181">
      <c r="B181" s="64"/>
    </row>
    <row r="182">
      <c r="B182" s="64"/>
    </row>
    <row r="183">
      <c r="B183" s="64"/>
    </row>
    <row r="184">
      <c r="B184" s="64"/>
    </row>
    <row r="185">
      <c r="B185" s="64"/>
    </row>
    <row r="186">
      <c r="B186" s="64"/>
    </row>
    <row r="187">
      <c r="B187" s="64"/>
    </row>
    <row r="188">
      <c r="B188" s="64"/>
    </row>
    <row r="189">
      <c r="B189" s="64"/>
    </row>
    <row r="190">
      <c r="B190" s="64"/>
    </row>
    <row r="191">
      <c r="B191" s="64"/>
    </row>
    <row r="192">
      <c r="B192" s="64"/>
    </row>
    <row r="193">
      <c r="B193" s="64"/>
    </row>
    <row r="194">
      <c r="B194" s="64"/>
    </row>
    <row r="195">
      <c r="B195" s="64"/>
    </row>
    <row r="196">
      <c r="B196" s="64"/>
    </row>
    <row r="197">
      <c r="B197" s="64"/>
    </row>
    <row r="198">
      <c r="B198" s="64"/>
    </row>
    <row r="199">
      <c r="B199" s="64"/>
    </row>
    <row r="200">
      <c r="B200" s="64"/>
    </row>
    <row r="201">
      <c r="B201" s="64"/>
    </row>
    <row r="202">
      <c r="B202" s="64"/>
    </row>
    <row r="203">
      <c r="B203" s="64"/>
    </row>
    <row r="204">
      <c r="B204" s="64"/>
    </row>
    <row r="205">
      <c r="B205" s="64"/>
    </row>
    <row r="206">
      <c r="B206" s="64"/>
    </row>
    <row r="207">
      <c r="B207" s="64"/>
    </row>
    <row r="208">
      <c r="B208" s="64"/>
    </row>
    <row r="209">
      <c r="B209" s="64"/>
    </row>
    <row r="210">
      <c r="B210" s="64"/>
    </row>
    <row r="211">
      <c r="B211" s="64"/>
    </row>
    <row r="212">
      <c r="B212" s="64"/>
    </row>
    <row r="213">
      <c r="B213" s="64"/>
    </row>
    <row r="214">
      <c r="B214" s="64"/>
    </row>
    <row r="215">
      <c r="B215" s="64"/>
    </row>
    <row r="216">
      <c r="B216" s="64"/>
    </row>
    <row r="217">
      <c r="B217" s="64"/>
    </row>
    <row r="218">
      <c r="B218" s="64"/>
    </row>
    <row r="219">
      <c r="B219" s="64"/>
    </row>
    <row r="220">
      <c r="B220" s="64"/>
    </row>
    <row r="221">
      <c r="B221" s="64"/>
    </row>
    <row r="222">
      <c r="B222" s="64"/>
    </row>
    <row r="223">
      <c r="B223" s="64"/>
    </row>
    <row r="224">
      <c r="B224" s="64"/>
    </row>
    <row r="225">
      <c r="B225" s="64"/>
    </row>
    <row r="226">
      <c r="B226" s="64"/>
    </row>
    <row r="227">
      <c r="B227" s="64"/>
    </row>
    <row r="228">
      <c r="B228" s="64"/>
    </row>
    <row r="229">
      <c r="B229" s="64"/>
    </row>
    <row r="230">
      <c r="B230" s="64"/>
    </row>
    <row r="231">
      <c r="B231" s="64"/>
    </row>
    <row r="232">
      <c r="B232" s="64"/>
    </row>
    <row r="233">
      <c r="B233" s="64"/>
    </row>
    <row r="234">
      <c r="B234" s="64"/>
    </row>
    <row r="235">
      <c r="B235" s="64"/>
    </row>
    <row r="236">
      <c r="B236" s="64"/>
    </row>
    <row r="237">
      <c r="B237" s="64"/>
    </row>
    <row r="238">
      <c r="B238" s="64"/>
    </row>
    <row r="239">
      <c r="B239" s="64"/>
    </row>
    <row r="240">
      <c r="B240" s="64"/>
    </row>
    <row r="241">
      <c r="B241" s="64"/>
    </row>
    <row r="242">
      <c r="B242" s="64"/>
    </row>
    <row r="243">
      <c r="B243" s="64"/>
    </row>
    <row r="244">
      <c r="B244" s="64"/>
    </row>
    <row r="245">
      <c r="B245" s="64"/>
    </row>
    <row r="246">
      <c r="B246" s="64"/>
    </row>
    <row r="247">
      <c r="B247" s="64"/>
    </row>
    <row r="248">
      <c r="B248" s="64"/>
    </row>
    <row r="249">
      <c r="B249" s="64"/>
    </row>
    <row r="250">
      <c r="B250" s="64"/>
    </row>
    <row r="251">
      <c r="B251" s="64"/>
    </row>
    <row r="252">
      <c r="B252" s="64"/>
    </row>
    <row r="253">
      <c r="B253" s="64"/>
    </row>
    <row r="254">
      <c r="B254" s="64"/>
    </row>
    <row r="255">
      <c r="B255" s="64"/>
    </row>
    <row r="256">
      <c r="B256" s="64"/>
    </row>
    <row r="257">
      <c r="B257" s="64"/>
    </row>
    <row r="258">
      <c r="B258" s="64"/>
    </row>
    <row r="259">
      <c r="B259" s="64"/>
    </row>
    <row r="260">
      <c r="B260" s="64"/>
    </row>
    <row r="261">
      <c r="B261" s="64"/>
    </row>
    <row r="262">
      <c r="B262" s="64"/>
    </row>
    <row r="263">
      <c r="B263" s="64"/>
    </row>
    <row r="264">
      <c r="B264" s="64"/>
    </row>
    <row r="265">
      <c r="B265" s="64"/>
    </row>
    <row r="266">
      <c r="B266" s="64"/>
    </row>
    <row r="267">
      <c r="B267" s="64"/>
    </row>
    <row r="268">
      <c r="B268" s="64"/>
    </row>
    <row r="269">
      <c r="B269" s="64"/>
    </row>
    <row r="270">
      <c r="B270" s="64"/>
    </row>
    <row r="271">
      <c r="B271" s="64"/>
    </row>
    <row r="272">
      <c r="B272" s="64"/>
    </row>
    <row r="273">
      <c r="B273" s="64"/>
    </row>
    <row r="274">
      <c r="B274" s="64"/>
    </row>
    <row r="275">
      <c r="B275" s="64"/>
    </row>
    <row r="276">
      <c r="B276" s="64"/>
    </row>
    <row r="277">
      <c r="B277" s="64"/>
    </row>
    <row r="278">
      <c r="B278" s="64"/>
    </row>
    <row r="279">
      <c r="B279" s="64"/>
    </row>
    <row r="280">
      <c r="B280" s="64"/>
    </row>
    <row r="281">
      <c r="B281" s="64"/>
    </row>
    <row r="282">
      <c r="B282" s="64"/>
    </row>
    <row r="283">
      <c r="B283" s="64"/>
    </row>
    <row r="284">
      <c r="B284" s="64"/>
    </row>
    <row r="285">
      <c r="B285" s="64"/>
    </row>
    <row r="286">
      <c r="B286" s="64"/>
    </row>
    <row r="287">
      <c r="B287" s="64"/>
    </row>
    <row r="288">
      <c r="B288" s="64"/>
    </row>
    <row r="289">
      <c r="B289" s="64"/>
    </row>
    <row r="290">
      <c r="B290" s="64"/>
    </row>
    <row r="291">
      <c r="B291" s="64"/>
    </row>
    <row r="292">
      <c r="B292" s="64"/>
    </row>
    <row r="293">
      <c r="B293" s="64"/>
    </row>
    <row r="294">
      <c r="B294" s="64"/>
    </row>
    <row r="295">
      <c r="B295" s="64"/>
    </row>
    <row r="296">
      <c r="B296" s="64"/>
    </row>
    <row r="297">
      <c r="B297" s="64"/>
    </row>
    <row r="298">
      <c r="B298" s="64"/>
    </row>
    <row r="299">
      <c r="B299" s="64"/>
    </row>
    <row r="300">
      <c r="B300" s="64"/>
    </row>
    <row r="301">
      <c r="B301" s="64"/>
    </row>
    <row r="302">
      <c r="B302" s="64"/>
    </row>
    <row r="303">
      <c r="B303" s="64"/>
    </row>
    <row r="304">
      <c r="B304" s="64"/>
    </row>
    <row r="305">
      <c r="B305" s="64"/>
    </row>
    <row r="306">
      <c r="B306" s="64"/>
    </row>
    <row r="307">
      <c r="B307" s="64"/>
    </row>
    <row r="308">
      <c r="B308" s="64"/>
    </row>
    <row r="309">
      <c r="B309" s="64"/>
    </row>
    <row r="310">
      <c r="B310" s="64"/>
    </row>
    <row r="311">
      <c r="B311" s="64"/>
    </row>
    <row r="312">
      <c r="B312" s="64"/>
    </row>
    <row r="313">
      <c r="B313" s="64"/>
    </row>
    <row r="314">
      <c r="B314" s="64"/>
    </row>
    <row r="315">
      <c r="B315" s="64"/>
    </row>
    <row r="316">
      <c r="B316" s="64"/>
    </row>
    <row r="317">
      <c r="B317" s="64"/>
    </row>
    <row r="318">
      <c r="B318" s="64"/>
    </row>
    <row r="319">
      <c r="B319" s="64"/>
    </row>
    <row r="320">
      <c r="B320" s="64"/>
    </row>
    <row r="321">
      <c r="B321" s="64"/>
    </row>
    <row r="322">
      <c r="B322" s="64"/>
    </row>
    <row r="323">
      <c r="B323" s="64"/>
    </row>
    <row r="324">
      <c r="B324" s="64"/>
    </row>
    <row r="325">
      <c r="B325" s="64"/>
    </row>
    <row r="326">
      <c r="B326" s="64"/>
    </row>
    <row r="327">
      <c r="B327" s="64"/>
    </row>
    <row r="328">
      <c r="B328" s="64"/>
    </row>
    <row r="329">
      <c r="B329" s="64"/>
    </row>
    <row r="330">
      <c r="B330" s="64"/>
    </row>
    <row r="331">
      <c r="B331" s="64"/>
    </row>
    <row r="332">
      <c r="B332" s="64"/>
    </row>
    <row r="333">
      <c r="B333" s="64"/>
    </row>
    <row r="334">
      <c r="B334" s="64"/>
    </row>
    <row r="335">
      <c r="B335" s="64"/>
    </row>
    <row r="336">
      <c r="B336" s="64"/>
    </row>
    <row r="337">
      <c r="B337" s="64"/>
    </row>
    <row r="338">
      <c r="B338" s="64"/>
    </row>
    <row r="339">
      <c r="B339" s="64"/>
    </row>
    <row r="340">
      <c r="B340" s="64"/>
    </row>
    <row r="341">
      <c r="B341" s="64"/>
    </row>
    <row r="342">
      <c r="B342" s="64"/>
    </row>
    <row r="343">
      <c r="B343" s="64"/>
    </row>
    <row r="344">
      <c r="B344" s="64"/>
    </row>
    <row r="345">
      <c r="B345" s="64"/>
    </row>
    <row r="346">
      <c r="B346" s="64"/>
    </row>
    <row r="347">
      <c r="B347" s="64"/>
    </row>
    <row r="348">
      <c r="B348" s="64"/>
    </row>
    <row r="349">
      <c r="B349" s="64"/>
    </row>
    <row r="350">
      <c r="B350" s="64"/>
    </row>
    <row r="351">
      <c r="B351" s="64"/>
    </row>
    <row r="352">
      <c r="B352" s="64"/>
    </row>
    <row r="353">
      <c r="B353" s="64"/>
    </row>
    <row r="354">
      <c r="B354" s="64"/>
    </row>
    <row r="355">
      <c r="B355" s="64"/>
    </row>
    <row r="356">
      <c r="B356" s="64"/>
    </row>
    <row r="357">
      <c r="B357" s="64"/>
    </row>
    <row r="358">
      <c r="B358" s="64"/>
    </row>
    <row r="359">
      <c r="B359" s="64"/>
    </row>
    <row r="360">
      <c r="B360" s="64"/>
    </row>
    <row r="361">
      <c r="B361" s="64"/>
    </row>
    <row r="362">
      <c r="B362" s="64"/>
    </row>
    <row r="363">
      <c r="B363" s="64"/>
    </row>
    <row r="364">
      <c r="B364" s="64"/>
    </row>
    <row r="365">
      <c r="B365" s="64"/>
    </row>
    <row r="366">
      <c r="B366" s="64"/>
    </row>
    <row r="367">
      <c r="B367" s="64"/>
    </row>
    <row r="368">
      <c r="B368" s="64"/>
    </row>
    <row r="369">
      <c r="B369" s="64"/>
    </row>
    <row r="370">
      <c r="B370" s="64"/>
    </row>
    <row r="371">
      <c r="B371" s="64"/>
    </row>
    <row r="372">
      <c r="B372" s="64"/>
    </row>
    <row r="373">
      <c r="B373" s="64"/>
    </row>
    <row r="374">
      <c r="B374" s="64"/>
    </row>
    <row r="375">
      <c r="B375" s="64"/>
    </row>
    <row r="376">
      <c r="B376" s="64"/>
    </row>
    <row r="377">
      <c r="B377" s="64"/>
    </row>
    <row r="378">
      <c r="B378" s="64"/>
    </row>
    <row r="379">
      <c r="B379" s="64"/>
    </row>
    <row r="380">
      <c r="B380" s="64"/>
    </row>
    <row r="381">
      <c r="B381" s="64"/>
    </row>
    <row r="382">
      <c r="B382" s="64"/>
    </row>
    <row r="383">
      <c r="B383" s="64"/>
    </row>
    <row r="384">
      <c r="B384" s="64"/>
    </row>
    <row r="385">
      <c r="B385" s="64"/>
    </row>
    <row r="386">
      <c r="B386" s="64"/>
    </row>
    <row r="387">
      <c r="B387" s="64"/>
    </row>
    <row r="388">
      <c r="B388" s="64"/>
    </row>
    <row r="389">
      <c r="B389" s="64"/>
    </row>
    <row r="390">
      <c r="B390" s="64"/>
    </row>
    <row r="391">
      <c r="B391" s="64"/>
    </row>
    <row r="392">
      <c r="B392" s="64"/>
    </row>
    <row r="393">
      <c r="B393" s="64"/>
    </row>
    <row r="394">
      <c r="B394" s="64"/>
    </row>
    <row r="395">
      <c r="B395" s="64"/>
    </row>
    <row r="396">
      <c r="B396" s="64"/>
    </row>
    <row r="397">
      <c r="B397" s="64"/>
    </row>
    <row r="398">
      <c r="B398" s="64"/>
    </row>
    <row r="399">
      <c r="B399" s="64"/>
    </row>
    <row r="400">
      <c r="B400" s="64"/>
    </row>
    <row r="401">
      <c r="B401" s="64"/>
    </row>
    <row r="402">
      <c r="B402" s="64"/>
    </row>
    <row r="403">
      <c r="B403" s="64"/>
    </row>
    <row r="404">
      <c r="B404" s="64"/>
    </row>
    <row r="405">
      <c r="B405" s="64"/>
    </row>
    <row r="406">
      <c r="B406" s="64"/>
    </row>
    <row r="407">
      <c r="B407" s="64"/>
    </row>
    <row r="408">
      <c r="B408" s="64"/>
    </row>
    <row r="409">
      <c r="B409" s="64"/>
    </row>
    <row r="410">
      <c r="B410" s="64"/>
    </row>
    <row r="411">
      <c r="B411" s="64"/>
    </row>
    <row r="412">
      <c r="B412" s="64"/>
    </row>
    <row r="413">
      <c r="B413" s="64"/>
    </row>
    <row r="414">
      <c r="B414" s="64"/>
    </row>
    <row r="415">
      <c r="B415" s="64"/>
    </row>
    <row r="416">
      <c r="B416" s="64"/>
    </row>
    <row r="417">
      <c r="B417" s="64"/>
    </row>
    <row r="418">
      <c r="B418" s="64"/>
    </row>
    <row r="419">
      <c r="B419" s="64"/>
    </row>
    <row r="420">
      <c r="B420" s="64"/>
    </row>
    <row r="421">
      <c r="B421" s="64"/>
    </row>
    <row r="422">
      <c r="B422" s="64"/>
    </row>
    <row r="423">
      <c r="B423" s="64"/>
    </row>
    <row r="424">
      <c r="B424" s="64"/>
    </row>
    <row r="425">
      <c r="B425" s="64"/>
    </row>
    <row r="426">
      <c r="B426" s="64"/>
    </row>
    <row r="427">
      <c r="B427" s="64"/>
    </row>
    <row r="428">
      <c r="B428" s="64"/>
    </row>
    <row r="429">
      <c r="B429" s="64"/>
    </row>
    <row r="430">
      <c r="B430" s="64"/>
    </row>
    <row r="431">
      <c r="B431" s="64"/>
    </row>
    <row r="432">
      <c r="B432" s="64"/>
    </row>
    <row r="433">
      <c r="B433" s="64"/>
    </row>
    <row r="434">
      <c r="B434" s="64"/>
    </row>
    <row r="435">
      <c r="B435" s="64"/>
    </row>
    <row r="436">
      <c r="B436" s="64"/>
    </row>
    <row r="437">
      <c r="B437" s="64"/>
    </row>
    <row r="438">
      <c r="B438" s="64"/>
    </row>
    <row r="439">
      <c r="B439" s="64"/>
    </row>
    <row r="440">
      <c r="B440" s="64"/>
    </row>
    <row r="441">
      <c r="B441" s="64"/>
    </row>
    <row r="442">
      <c r="B442" s="64"/>
    </row>
    <row r="443">
      <c r="B443" s="64"/>
    </row>
    <row r="444">
      <c r="B444" s="64"/>
    </row>
    <row r="445">
      <c r="B445" s="64"/>
    </row>
    <row r="446">
      <c r="B446" s="64"/>
    </row>
    <row r="447">
      <c r="B447" s="64"/>
    </row>
    <row r="448">
      <c r="B448" s="64"/>
    </row>
    <row r="449">
      <c r="B449" s="64"/>
    </row>
    <row r="450">
      <c r="B450" s="64"/>
    </row>
    <row r="451">
      <c r="B451" s="64"/>
    </row>
    <row r="452">
      <c r="B452" s="64"/>
    </row>
    <row r="453">
      <c r="B453" s="64"/>
    </row>
    <row r="454">
      <c r="B454" s="64"/>
    </row>
    <row r="455">
      <c r="B455" s="64"/>
    </row>
    <row r="456">
      <c r="B456" s="64"/>
    </row>
    <row r="457">
      <c r="B457" s="64"/>
    </row>
    <row r="458">
      <c r="B458" s="64"/>
    </row>
    <row r="459">
      <c r="B459" s="64"/>
    </row>
    <row r="460">
      <c r="B460" s="64"/>
    </row>
    <row r="461">
      <c r="B461" s="64"/>
    </row>
    <row r="462">
      <c r="B462" s="64"/>
    </row>
    <row r="463">
      <c r="B463" s="64"/>
    </row>
    <row r="464">
      <c r="B464" s="64"/>
    </row>
    <row r="465">
      <c r="B465" s="64"/>
    </row>
    <row r="466">
      <c r="B466" s="64"/>
    </row>
    <row r="467">
      <c r="B467" s="64"/>
    </row>
    <row r="468">
      <c r="B468" s="64"/>
    </row>
    <row r="469">
      <c r="B469" s="64"/>
    </row>
    <row r="470">
      <c r="B470" s="64"/>
    </row>
    <row r="471">
      <c r="B471" s="64"/>
    </row>
    <row r="472">
      <c r="B472" s="64"/>
    </row>
    <row r="473">
      <c r="B473" s="64"/>
    </row>
    <row r="474">
      <c r="B474" s="64"/>
    </row>
    <row r="475">
      <c r="B475" s="64"/>
    </row>
    <row r="476">
      <c r="B476" s="64"/>
    </row>
    <row r="477">
      <c r="B477" s="64"/>
    </row>
    <row r="478">
      <c r="B478" s="64"/>
    </row>
    <row r="479">
      <c r="B479" s="64"/>
    </row>
    <row r="480">
      <c r="B480" s="64"/>
    </row>
    <row r="481">
      <c r="B481" s="64"/>
    </row>
    <row r="482">
      <c r="B482" s="64"/>
    </row>
    <row r="483">
      <c r="B483" s="64"/>
    </row>
    <row r="484">
      <c r="B484" s="64"/>
    </row>
    <row r="485">
      <c r="B485" s="64"/>
    </row>
    <row r="486">
      <c r="B486" s="64"/>
    </row>
    <row r="487">
      <c r="B487" s="64"/>
    </row>
    <row r="488">
      <c r="B488" s="64"/>
    </row>
    <row r="489">
      <c r="B489" s="64"/>
    </row>
    <row r="490">
      <c r="B490" s="64"/>
    </row>
    <row r="491">
      <c r="B491" s="64"/>
    </row>
    <row r="492">
      <c r="B492" s="64"/>
    </row>
    <row r="493">
      <c r="B493" s="64"/>
    </row>
    <row r="494">
      <c r="B494" s="64"/>
    </row>
    <row r="495">
      <c r="B495" s="64"/>
    </row>
    <row r="496">
      <c r="B496" s="64"/>
    </row>
    <row r="497">
      <c r="B497" s="64"/>
    </row>
    <row r="498">
      <c r="B498" s="64"/>
    </row>
    <row r="499">
      <c r="B499" s="64"/>
    </row>
    <row r="500">
      <c r="B500" s="64"/>
    </row>
    <row r="501">
      <c r="B501" s="64"/>
    </row>
    <row r="502">
      <c r="B502" s="64"/>
    </row>
    <row r="503">
      <c r="B503" s="64"/>
    </row>
    <row r="504">
      <c r="B504" s="64"/>
    </row>
    <row r="505">
      <c r="B505" s="64"/>
    </row>
    <row r="506">
      <c r="B506" s="64"/>
    </row>
    <row r="507">
      <c r="B507" s="64"/>
    </row>
    <row r="508">
      <c r="B508" s="64"/>
    </row>
    <row r="509">
      <c r="B509" s="64"/>
    </row>
    <row r="510">
      <c r="B510" s="64"/>
    </row>
    <row r="511">
      <c r="B511" s="64"/>
    </row>
    <row r="512">
      <c r="B512" s="64"/>
    </row>
    <row r="513">
      <c r="B513" s="64"/>
    </row>
    <row r="514">
      <c r="B514" s="64"/>
    </row>
    <row r="515">
      <c r="B515" s="64"/>
    </row>
    <row r="516">
      <c r="B516" s="64"/>
    </row>
    <row r="517">
      <c r="B517" s="64"/>
    </row>
    <row r="518">
      <c r="B518" s="64"/>
    </row>
    <row r="519">
      <c r="B519" s="64"/>
    </row>
    <row r="520">
      <c r="B520" s="64"/>
    </row>
    <row r="521">
      <c r="B521" s="64"/>
    </row>
    <row r="522">
      <c r="B522" s="64"/>
    </row>
    <row r="523">
      <c r="B523" s="64"/>
    </row>
    <row r="524">
      <c r="B524" s="64"/>
    </row>
    <row r="525">
      <c r="B525" s="64"/>
    </row>
    <row r="526">
      <c r="B526" s="64"/>
    </row>
    <row r="527">
      <c r="B527" s="64"/>
    </row>
    <row r="528">
      <c r="B528" s="64"/>
    </row>
    <row r="529">
      <c r="B529" s="64"/>
    </row>
    <row r="530">
      <c r="B530" s="64"/>
    </row>
    <row r="531">
      <c r="B531" s="64"/>
    </row>
    <row r="532">
      <c r="B532" s="64"/>
    </row>
    <row r="533">
      <c r="B533" s="64"/>
    </row>
    <row r="534">
      <c r="B534" s="64"/>
    </row>
    <row r="535">
      <c r="B535" s="64"/>
    </row>
    <row r="536">
      <c r="B536" s="64"/>
    </row>
    <row r="537">
      <c r="B537" s="64"/>
    </row>
    <row r="538">
      <c r="B538" s="64"/>
    </row>
    <row r="539">
      <c r="B539" s="64"/>
    </row>
    <row r="540">
      <c r="B540" s="64"/>
    </row>
    <row r="541">
      <c r="B541" s="64"/>
    </row>
    <row r="542">
      <c r="B542" s="64"/>
    </row>
    <row r="543">
      <c r="B543" s="64"/>
    </row>
    <row r="544">
      <c r="B544" s="64"/>
    </row>
    <row r="545">
      <c r="B545" s="64"/>
    </row>
    <row r="546">
      <c r="B546" s="64"/>
    </row>
    <row r="547">
      <c r="B547" s="64"/>
    </row>
    <row r="548">
      <c r="B548" s="64"/>
    </row>
    <row r="549">
      <c r="B549" s="64"/>
    </row>
    <row r="550">
      <c r="B550" s="64"/>
    </row>
    <row r="551">
      <c r="B551" s="64"/>
    </row>
    <row r="552">
      <c r="B552" s="64"/>
    </row>
    <row r="553">
      <c r="B553" s="64"/>
    </row>
    <row r="554">
      <c r="B554" s="64"/>
    </row>
    <row r="555">
      <c r="B555" s="64"/>
    </row>
    <row r="556">
      <c r="B556" s="64"/>
    </row>
    <row r="557">
      <c r="B557" s="64"/>
    </row>
    <row r="558">
      <c r="B558" s="64"/>
    </row>
    <row r="559">
      <c r="B559" s="64"/>
    </row>
    <row r="560">
      <c r="B560" s="64"/>
    </row>
    <row r="561">
      <c r="B561" s="64"/>
    </row>
    <row r="562">
      <c r="B562" s="64"/>
    </row>
    <row r="563">
      <c r="B563" s="64"/>
    </row>
    <row r="564">
      <c r="B564" s="64"/>
    </row>
    <row r="565">
      <c r="B565" s="64"/>
    </row>
    <row r="566">
      <c r="B566" s="64"/>
    </row>
    <row r="567">
      <c r="B567" s="64"/>
    </row>
    <row r="568">
      <c r="B568" s="64"/>
    </row>
    <row r="569">
      <c r="B569" s="64"/>
    </row>
    <row r="570">
      <c r="B570" s="64"/>
    </row>
    <row r="571">
      <c r="B571" s="64"/>
    </row>
    <row r="572">
      <c r="B572" s="64"/>
    </row>
    <row r="573">
      <c r="B573" s="64"/>
    </row>
    <row r="574">
      <c r="B574" s="64"/>
    </row>
    <row r="575">
      <c r="B575" s="64"/>
    </row>
    <row r="576">
      <c r="B576" s="64"/>
    </row>
    <row r="577">
      <c r="B577" s="64"/>
    </row>
    <row r="578">
      <c r="B578" s="64"/>
    </row>
    <row r="579">
      <c r="B579" s="64"/>
    </row>
    <row r="580">
      <c r="B580" s="64"/>
    </row>
    <row r="581">
      <c r="B581" s="64"/>
    </row>
    <row r="582">
      <c r="B582" s="64"/>
    </row>
    <row r="583">
      <c r="B583" s="64"/>
    </row>
    <row r="584">
      <c r="B584" s="64"/>
    </row>
    <row r="585">
      <c r="B585" s="64"/>
    </row>
    <row r="586">
      <c r="B586" s="64"/>
    </row>
    <row r="587">
      <c r="B587" s="64"/>
    </row>
    <row r="588">
      <c r="B588" s="64"/>
    </row>
    <row r="589">
      <c r="B589" s="64"/>
    </row>
    <row r="590">
      <c r="B590" s="64"/>
    </row>
    <row r="591">
      <c r="B591" s="64"/>
    </row>
    <row r="592">
      <c r="B592" s="64"/>
    </row>
    <row r="593">
      <c r="B593" s="64"/>
    </row>
    <row r="594">
      <c r="B594" s="64"/>
    </row>
    <row r="595">
      <c r="B595" s="64"/>
    </row>
    <row r="596">
      <c r="B596" s="64"/>
    </row>
    <row r="597">
      <c r="B597" s="64"/>
    </row>
    <row r="598">
      <c r="B598" s="64"/>
    </row>
    <row r="599">
      <c r="B599" s="64"/>
    </row>
    <row r="600">
      <c r="B600" s="64"/>
    </row>
    <row r="601">
      <c r="B601" s="64"/>
    </row>
    <row r="602">
      <c r="B602" s="64"/>
    </row>
    <row r="603">
      <c r="B603" s="64"/>
    </row>
    <row r="604">
      <c r="B604" s="64"/>
    </row>
    <row r="605">
      <c r="B605" s="64"/>
    </row>
    <row r="606">
      <c r="B606" s="64"/>
    </row>
    <row r="607">
      <c r="B607" s="64"/>
    </row>
    <row r="608">
      <c r="B608" s="64"/>
    </row>
    <row r="609">
      <c r="B609" s="64"/>
    </row>
    <row r="610">
      <c r="B610" s="64"/>
    </row>
    <row r="611">
      <c r="B611" s="64"/>
    </row>
    <row r="612">
      <c r="B612" s="64"/>
    </row>
    <row r="613">
      <c r="B613" s="64"/>
    </row>
    <row r="614">
      <c r="B614" s="64"/>
    </row>
    <row r="615">
      <c r="B615" s="64"/>
    </row>
    <row r="616">
      <c r="B616" s="64"/>
    </row>
    <row r="617">
      <c r="B617" s="64"/>
    </row>
    <row r="618">
      <c r="B618" s="64"/>
    </row>
    <row r="619">
      <c r="B619" s="64"/>
    </row>
    <row r="620">
      <c r="B620" s="64"/>
    </row>
    <row r="621">
      <c r="B621" s="64"/>
    </row>
    <row r="622">
      <c r="B622" s="64"/>
    </row>
    <row r="623">
      <c r="B623" s="64"/>
    </row>
    <row r="624">
      <c r="B624" s="64"/>
    </row>
    <row r="625">
      <c r="B625" s="64"/>
    </row>
    <row r="626">
      <c r="B626" s="64"/>
    </row>
    <row r="627">
      <c r="B627" s="64"/>
    </row>
    <row r="628">
      <c r="B628" s="64"/>
    </row>
    <row r="629">
      <c r="B629" s="64"/>
    </row>
    <row r="630">
      <c r="B630" s="64"/>
    </row>
    <row r="631">
      <c r="B631" s="64"/>
    </row>
    <row r="632">
      <c r="B632" s="64"/>
    </row>
    <row r="633">
      <c r="B633" s="64"/>
    </row>
    <row r="634">
      <c r="B634" s="64"/>
    </row>
    <row r="635">
      <c r="B635" s="64"/>
    </row>
    <row r="636">
      <c r="B636" s="64"/>
    </row>
    <row r="637">
      <c r="B637" s="64"/>
    </row>
    <row r="638">
      <c r="B638" s="64"/>
    </row>
    <row r="639">
      <c r="B639" s="64"/>
    </row>
    <row r="640">
      <c r="B640" s="64"/>
    </row>
    <row r="641">
      <c r="B641" s="64"/>
    </row>
    <row r="642">
      <c r="B642" s="64"/>
    </row>
    <row r="643">
      <c r="B643" s="64"/>
    </row>
    <row r="644">
      <c r="B644" s="64"/>
    </row>
    <row r="645">
      <c r="B645" s="64"/>
    </row>
    <row r="646">
      <c r="B646" s="64"/>
    </row>
    <row r="647">
      <c r="B647" s="64"/>
    </row>
    <row r="648">
      <c r="B648" s="64"/>
    </row>
    <row r="649">
      <c r="B649" s="64"/>
    </row>
    <row r="650">
      <c r="B650" s="64"/>
    </row>
    <row r="651">
      <c r="B651" s="64"/>
    </row>
    <row r="652">
      <c r="B652" s="64"/>
    </row>
    <row r="653">
      <c r="B653" s="64"/>
    </row>
    <row r="654">
      <c r="B654" s="64"/>
    </row>
    <row r="655">
      <c r="B655" s="64"/>
    </row>
    <row r="656">
      <c r="B656" s="64"/>
    </row>
    <row r="657">
      <c r="B657" s="64"/>
    </row>
    <row r="658">
      <c r="B658" s="64"/>
    </row>
    <row r="659">
      <c r="B659" s="64"/>
    </row>
    <row r="660">
      <c r="B660" s="64"/>
    </row>
    <row r="661">
      <c r="B661" s="64"/>
    </row>
    <row r="662">
      <c r="B662" s="64"/>
    </row>
    <row r="663">
      <c r="B663" s="64"/>
    </row>
    <row r="664">
      <c r="B664" s="64"/>
    </row>
    <row r="665">
      <c r="B665" s="64"/>
    </row>
    <row r="666">
      <c r="B666" s="64"/>
    </row>
    <row r="667">
      <c r="B667" s="64"/>
    </row>
    <row r="668">
      <c r="B668" s="64"/>
    </row>
    <row r="669">
      <c r="B669" s="64"/>
    </row>
    <row r="670">
      <c r="B670" s="64"/>
    </row>
    <row r="671">
      <c r="B671" s="64"/>
    </row>
    <row r="672">
      <c r="B672" s="64"/>
    </row>
    <row r="673">
      <c r="B673" s="64"/>
    </row>
    <row r="674">
      <c r="B674" s="64"/>
    </row>
    <row r="675">
      <c r="B675" s="64"/>
    </row>
    <row r="676">
      <c r="B676" s="64"/>
    </row>
    <row r="677">
      <c r="B677" s="64"/>
    </row>
    <row r="678">
      <c r="B678" s="64"/>
    </row>
    <row r="679">
      <c r="B679" s="64"/>
    </row>
    <row r="680">
      <c r="B680" s="64"/>
    </row>
    <row r="681">
      <c r="B681" s="64"/>
    </row>
    <row r="682">
      <c r="B682" s="64"/>
    </row>
    <row r="683">
      <c r="B683" s="64"/>
    </row>
    <row r="684">
      <c r="B684" s="64"/>
    </row>
    <row r="685">
      <c r="B685" s="64"/>
    </row>
    <row r="686">
      <c r="B686" s="64"/>
    </row>
    <row r="687">
      <c r="B687" s="64"/>
    </row>
    <row r="688">
      <c r="B688" s="64"/>
    </row>
    <row r="689">
      <c r="B689" s="64"/>
    </row>
    <row r="690">
      <c r="B690" s="64"/>
    </row>
    <row r="691">
      <c r="B691" s="64"/>
    </row>
    <row r="692">
      <c r="B692" s="64"/>
    </row>
    <row r="693">
      <c r="B693" s="64"/>
    </row>
    <row r="694">
      <c r="B694" s="64"/>
    </row>
    <row r="695">
      <c r="B695" s="64"/>
    </row>
    <row r="696">
      <c r="B696" s="64"/>
    </row>
    <row r="697">
      <c r="B697" s="64"/>
    </row>
    <row r="698">
      <c r="B698" s="64"/>
    </row>
    <row r="699">
      <c r="B699" s="64"/>
    </row>
    <row r="700">
      <c r="B700" s="64"/>
    </row>
    <row r="701">
      <c r="B701" s="64"/>
    </row>
    <row r="702">
      <c r="B702" s="64"/>
    </row>
    <row r="703">
      <c r="B703" s="64"/>
    </row>
    <row r="704">
      <c r="B704" s="64"/>
    </row>
    <row r="705">
      <c r="B705" s="64"/>
    </row>
    <row r="706">
      <c r="B706" s="64"/>
    </row>
    <row r="707">
      <c r="B707" s="64"/>
    </row>
    <row r="708">
      <c r="B708" s="64"/>
    </row>
    <row r="709">
      <c r="B709" s="64"/>
    </row>
    <row r="710">
      <c r="B710" s="64"/>
    </row>
    <row r="711">
      <c r="B711" s="64"/>
    </row>
    <row r="712">
      <c r="B712" s="64"/>
    </row>
    <row r="713">
      <c r="B713" s="64"/>
    </row>
    <row r="714">
      <c r="B714" s="64"/>
    </row>
    <row r="715">
      <c r="B715" s="64"/>
    </row>
    <row r="716">
      <c r="B716" s="64"/>
    </row>
    <row r="717">
      <c r="B717" s="64"/>
    </row>
    <row r="718">
      <c r="B718" s="64"/>
    </row>
    <row r="719">
      <c r="B719" s="64"/>
    </row>
    <row r="720">
      <c r="B720" s="64"/>
    </row>
    <row r="721">
      <c r="B721" s="64"/>
    </row>
    <row r="722">
      <c r="B722" s="64"/>
    </row>
    <row r="723">
      <c r="B723" s="64"/>
    </row>
    <row r="724">
      <c r="B724" s="64"/>
    </row>
    <row r="725">
      <c r="B725" s="64"/>
    </row>
    <row r="726">
      <c r="B726" s="64"/>
    </row>
    <row r="727">
      <c r="B727" s="64"/>
    </row>
    <row r="728">
      <c r="B728" s="64"/>
    </row>
    <row r="729">
      <c r="B729" s="64"/>
    </row>
    <row r="730">
      <c r="B730" s="64"/>
    </row>
    <row r="731">
      <c r="B731" s="64"/>
    </row>
    <row r="732">
      <c r="B732" s="64"/>
    </row>
    <row r="733">
      <c r="B733" s="64"/>
    </row>
    <row r="734">
      <c r="B734" s="64"/>
    </row>
    <row r="735">
      <c r="B735" s="64"/>
    </row>
    <row r="736">
      <c r="B736" s="64"/>
    </row>
    <row r="737">
      <c r="B737" s="64"/>
    </row>
    <row r="738">
      <c r="B738" s="64"/>
    </row>
    <row r="739">
      <c r="B739" s="64"/>
    </row>
    <row r="740">
      <c r="B740" s="64"/>
    </row>
    <row r="741">
      <c r="B741" s="64"/>
    </row>
    <row r="742">
      <c r="B742" s="64"/>
    </row>
    <row r="743">
      <c r="B743" s="64"/>
    </row>
    <row r="744">
      <c r="B744" s="64"/>
    </row>
    <row r="745">
      <c r="B745" s="64"/>
    </row>
    <row r="746">
      <c r="B746" s="64"/>
    </row>
    <row r="747">
      <c r="B747" s="64"/>
    </row>
    <row r="748">
      <c r="B748" s="64"/>
    </row>
    <row r="749">
      <c r="B749" s="64"/>
    </row>
    <row r="750">
      <c r="B750" s="64"/>
    </row>
    <row r="751">
      <c r="B751" s="64"/>
    </row>
    <row r="752">
      <c r="B752" s="64"/>
    </row>
    <row r="753">
      <c r="B753" s="64"/>
    </row>
    <row r="754">
      <c r="B754" s="64"/>
    </row>
    <row r="755">
      <c r="B755" s="64"/>
    </row>
    <row r="756">
      <c r="B756" s="64"/>
    </row>
    <row r="757">
      <c r="B757" s="64"/>
    </row>
    <row r="758">
      <c r="B758" s="64"/>
    </row>
    <row r="759">
      <c r="B759" s="64"/>
    </row>
    <row r="760">
      <c r="B760" s="64"/>
    </row>
    <row r="761">
      <c r="B761" s="64"/>
    </row>
    <row r="762">
      <c r="B762" s="64"/>
    </row>
    <row r="763">
      <c r="B763" s="64"/>
    </row>
    <row r="764">
      <c r="B764" s="64"/>
    </row>
    <row r="765">
      <c r="B765" s="64"/>
    </row>
    <row r="766">
      <c r="B766" s="64"/>
    </row>
    <row r="767">
      <c r="B767" s="64"/>
    </row>
    <row r="768">
      <c r="B768" s="64"/>
    </row>
    <row r="769">
      <c r="B769" s="64"/>
    </row>
    <row r="770">
      <c r="B770" s="64"/>
    </row>
    <row r="771">
      <c r="B771" s="64"/>
    </row>
    <row r="772">
      <c r="B772" s="64"/>
    </row>
    <row r="773">
      <c r="B773" s="64"/>
    </row>
    <row r="774">
      <c r="B774" s="64"/>
    </row>
    <row r="775">
      <c r="B775" s="64"/>
    </row>
    <row r="776">
      <c r="B776" s="64"/>
    </row>
    <row r="777">
      <c r="B777" s="64"/>
    </row>
    <row r="778">
      <c r="B778" s="64"/>
    </row>
    <row r="779">
      <c r="B779" s="64"/>
    </row>
    <row r="780">
      <c r="B780" s="64"/>
    </row>
    <row r="781">
      <c r="B781" s="64"/>
    </row>
    <row r="782">
      <c r="B782" s="64"/>
    </row>
    <row r="783">
      <c r="B783" s="64"/>
    </row>
    <row r="784">
      <c r="B784" s="64"/>
    </row>
    <row r="785">
      <c r="B785" s="64"/>
    </row>
    <row r="786">
      <c r="B786" s="64"/>
    </row>
    <row r="787">
      <c r="B787" s="64"/>
    </row>
    <row r="788">
      <c r="B788" s="64"/>
    </row>
    <row r="789">
      <c r="B789" s="64"/>
    </row>
    <row r="790">
      <c r="B790" s="64"/>
    </row>
    <row r="791">
      <c r="B791" s="64"/>
    </row>
    <row r="792">
      <c r="B792" s="64"/>
    </row>
    <row r="793">
      <c r="B793" s="64"/>
    </row>
    <row r="794">
      <c r="B794" s="64"/>
    </row>
    <row r="795">
      <c r="B795" s="64"/>
    </row>
    <row r="796">
      <c r="B796" s="64"/>
    </row>
    <row r="797">
      <c r="B797" s="64"/>
    </row>
    <row r="798">
      <c r="B798" s="64"/>
    </row>
    <row r="799">
      <c r="B799" s="64"/>
    </row>
    <row r="800">
      <c r="B800" s="64"/>
    </row>
    <row r="801">
      <c r="B801" s="64"/>
    </row>
    <row r="802">
      <c r="B802" s="64"/>
    </row>
    <row r="803">
      <c r="B803" s="64"/>
    </row>
    <row r="804">
      <c r="B804" s="64"/>
    </row>
    <row r="805">
      <c r="B805" s="64"/>
    </row>
    <row r="806">
      <c r="B806" s="64"/>
    </row>
    <row r="807">
      <c r="B807" s="64"/>
    </row>
    <row r="808">
      <c r="B808" s="64"/>
    </row>
    <row r="809">
      <c r="B809" s="64"/>
    </row>
    <row r="810">
      <c r="B810" s="64"/>
    </row>
    <row r="811">
      <c r="B811" s="64"/>
    </row>
    <row r="812">
      <c r="B812" s="64"/>
    </row>
    <row r="813">
      <c r="B813" s="64"/>
    </row>
    <row r="814">
      <c r="B814" s="64"/>
    </row>
    <row r="815">
      <c r="B815" s="64"/>
    </row>
    <row r="816">
      <c r="B816" s="64"/>
    </row>
    <row r="817">
      <c r="B817" s="64"/>
    </row>
    <row r="818">
      <c r="B818" s="64"/>
    </row>
    <row r="819">
      <c r="B819" s="64"/>
    </row>
    <row r="820">
      <c r="B820" s="64"/>
    </row>
    <row r="821">
      <c r="B821" s="64"/>
    </row>
    <row r="822">
      <c r="B822" s="64"/>
    </row>
    <row r="823">
      <c r="B823" s="64"/>
    </row>
    <row r="824">
      <c r="B824" s="64"/>
    </row>
    <row r="825">
      <c r="B825" s="64"/>
    </row>
    <row r="826">
      <c r="B826" s="64"/>
    </row>
    <row r="827">
      <c r="B827" s="64"/>
    </row>
    <row r="828">
      <c r="B828" s="64"/>
    </row>
    <row r="829">
      <c r="B829" s="64"/>
    </row>
    <row r="830">
      <c r="B830" s="64"/>
    </row>
    <row r="831">
      <c r="B831" s="64"/>
    </row>
    <row r="832">
      <c r="B832" s="64"/>
    </row>
    <row r="833">
      <c r="B833" s="64"/>
    </row>
    <row r="834">
      <c r="B834" s="64"/>
    </row>
    <row r="835">
      <c r="B835" s="64"/>
    </row>
    <row r="836">
      <c r="B836" s="64"/>
    </row>
    <row r="837">
      <c r="B837" s="64"/>
    </row>
    <row r="838">
      <c r="B838" s="64"/>
    </row>
    <row r="839">
      <c r="B839" s="64"/>
    </row>
    <row r="840">
      <c r="B840" s="64"/>
    </row>
    <row r="841">
      <c r="B841" s="64"/>
    </row>
    <row r="842">
      <c r="B842" s="64"/>
    </row>
    <row r="843">
      <c r="B843" s="64"/>
    </row>
    <row r="844">
      <c r="B844" s="64"/>
    </row>
    <row r="845">
      <c r="B845" s="64"/>
    </row>
    <row r="846">
      <c r="B846" s="64"/>
    </row>
    <row r="847">
      <c r="B847" s="64"/>
    </row>
    <row r="848">
      <c r="B848" s="64"/>
    </row>
    <row r="849">
      <c r="B849" s="64"/>
    </row>
    <row r="850">
      <c r="B850" s="64"/>
    </row>
    <row r="851">
      <c r="B851" s="64"/>
    </row>
    <row r="852">
      <c r="B852" s="64"/>
    </row>
    <row r="853">
      <c r="B853" s="64"/>
    </row>
    <row r="854">
      <c r="B854" s="64"/>
    </row>
    <row r="855">
      <c r="B855" s="64"/>
    </row>
    <row r="856">
      <c r="B856" s="64"/>
    </row>
    <row r="857">
      <c r="B857" s="64"/>
    </row>
    <row r="858">
      <c r="B858" s="64"/>
    </row>
    <row r="859">
      <c r="B859" s="64"/>
    </row>
    <row r="860">
      <c r="B860" s="64"/>
    </row>
    <row r="861">
      <c r="B861" s="64"/>
    </row>
    <row r="862">
      <c r="B862" s="64"/>
    </row>
    <row r="863">
      <c r="B863" s="64"/>
    </row>
    <row r="864">
      <c r="B864" s="64"/>
    </row>
    <row r="865">
      <c r="B865" s="64"/>
    </row>
    <row r="866">
      <c r="B866" s="64"/>
    </row>
    <row r="867">
      <c r="B867" s="64"/>
    </row>
    <row r="868">
      <c r="B868" s="64"/>
    </row>
    <row r="869">
      <c r="B869" s="64"/>
    </row>
    <row r="870">
      <c r="B870" s="64"/>
    </row>
    <row r="871">
      <c r="B871" s="64"/>
    </row>
    <row r="872">
      <c r="B872" s="64"/>
    </row>
    <row r="873">
      <c r="B873" s="64"/>
    </row>
    <row r="874">
      <c r="B874" s="64"/>
    </row>
    <row r="875">
      <c r="B875" s="64"/>
    </row>
    <row r="876">
      <c r="B876" s="64"/>
    </row>
    <row r="877">
      <c r="B877" s="64"/>
    </row>
    <row r="878">
      <c r="B878" s="64"/>
    </row>
    <row r="879">
      <c r="B879" s="64"/>
    </row>
    <row r="880">
      <c r="B880" s="64"/>
    </row>
    <row r="881">
      <c r="B881" s="64"/>
    </row>
    <row r="882">
      <c r="B882" s="64"/>
    </row>
    <row r="883">
      <c r="B883" s="64"/>
    </row>
    <row r="884">
      <c r="B884" s="64"/>
    </row>
    <row r="885">
      <c r="B885" s="64"/>
    </row>
    <row r="886">
      <c r="B886" s="64"/>
    </row>
    <row r="887">
      <c r="B887" s="64"/>
    </row>
    <row r="888">
      <c r="B888" s="64"/>
    </row>
    <row r="889">
      <c r="B889" s="64"/>
    </row>
    <row r="890">
      <c r="B890" s="64"/>
    </row>
    <row r="891">
      <c r="B891" s="64"/>
    </row>
    <row r="892">
      <c r="B892" s="64"/>
    </row>
    <row r="893">
      <c r="B893" s="64"/>
    </row>
    <row r="894">
      <c r="B894" s="64"/>
    </row>
    <row r="895">
      <c r="B895" s="64"/>
    </row>
    <row r="896">
      <c r="B896" s="64"/>
    </row>
    <row r="897">
      <c r="B897" s="64"/>
    </row>
    <row r="898">
      <c r="B898" s="64"/>
    </row>
    <row r="899">
      <c r="B899" s="64"/>
    </row>
    <row r="900">
      <c r="B900" s="64"/>
    </row>
    <row r="901">
      <c r="B901" s="64"/>
    </row>
    <row r="902">
      <c r="B902" s="64"/>
    </row>
    <row r="903">
      <c r="B903" s="64"/>
    </row>
    <row r="904">
      <c r="B904" s="64"/>
    </row>
    <row r="905">
      <c r="B905" s="64"/>
    </row>
    <row r="906">
      <c r="B906" s="64"/>
    </row>
    <row r="907">
      <c r="B907" s="64"/>
    </row>
    <row r="908">
      <c r="B908" s="64"/>
    </row>
    <row r="909">
      <c r="B909" s="64"/>
    </row>
    <row r="910">
      <c r="B910" s="64"/>
    </row>
    <row r="911">
      <c r="B911" s="64"/>
    </row>
    <row r="912">
      <c r="B912" s="64"/>
    </row>
    <row r="913">
      <c r="B913" s="64"/>
    </row>
    <row r="914">
      <c r="B914" s="64"/>
    </row>
    <row r="915">
      <c r="B915" s="64"/>
    </row>
    <row r="916">
      <c r="B916" s="64"/>
    </row>
    <row r="917">
      <c r="B917" s="64"/>
    </row>
    <row r="918">
      <c r="B918" s="64"/>
    </row>
    <row r="919">
      <c r="B919" s="64"/>
    </row>
    <row r="920">
      <c r="B920" s="64"/>
    </row>
    <row r="921">
      <c r="B921" s="64"/>
    </row>
    <row r="922">
      <c r="B922" s="64"/>
    </row>
    <row r="923">
      <c r="B923" s="64"/>
    </row>
    <row r="924">
      <c r="B924" s="64"/>
    </row>
    <row r="925">
      <c r="B925" s="64"/>
    </row>
    <row r="926">
      <c r="B926" s="64"/>
    </row>
    <row r="927">
      <c r="B927" s="64"/>
    </row>
    <row r="928">
      <c r="B928" s="64"/>
    </row>
    <row r="929">
      <c r="B929" s="64"/>
    </row>
    <row r="930">
      <c r="B930" s="64"/>
    </row>
    <row r="931">
      <c r="B931" s="64"/>
    </row>
    <row r="932">
      <c r="B932" s="64"/>
    </row>
    <row r="933">
      <c r="B933" s="64"/>
    </row>
    <row r="934">
      <c r="B934" s="64"/>
    </row>
    <row r="935">
      <c r="B935" s="64"/>
    </row>
    <row r="936">
      <c r="B936" s="64"/>
    </row>
    <row r="937">
      <c r="B937" s="64"/>
    </row>
    <row r="938">
      <c r="B938" s="64"/>
    </row>
    <row r="939">
      <c r="B939" s="64"/>
    </row>
    <row r="940">
      <c r="B940" s="64"/>
    </row>
    <row r="941">
      <c r="B941" s="64"/>
    </row>
    <row r="942">
      <c r="B942" s="64"/>
    </row>
    <row r="943">
      <c r="B943" s="64"/>
    </row>
    <row r="944">
      <c r="B944" s="64"/>
    </row>
    <row r="945">
      <c r="B945" s="64"/>
    </row>
    <row r="946">
      <c r="B946" s="64"/>
    </row>
    <row r="947">
      <c r="B947" s="64"/>
    </row>
    <row r="948">
      <c r="B948" s="64"/>
    </row>
    <row r="949">
      <c r="B949" s="64"/>
    </row>
    <row r="950">
      <c r="B950" s="64"/>
    </row>
    <row r="951">
      <c r="B951" s="64"/>
    </row>
    <row r="952">
      <c r="B952" s="64"/>
    </row>
    <row r="953">
      <c r="B953" s="64"/>
    </row>
    <row r="954">
      <c r="B954" s="64"/>
    </row>
    <row r="955">
      <c r="B955" s="64"/>
    </row>
    <row r="956">
      <c r="B956" s="64"/>
    </row>
    <row r="957">
      <c r="B957" s="64"/>
    </row>
    <row r="958">
      <c r="B958" s="64"/>
    </row>
    <row r="959">
      <c r="B959" s="64"/>
    </row>
    <row r="960">
      <c r="B960" s="64"/>
    </row>
    <row r="961">
      <c r="B961" s="64"/>
    </row>
    <row r="962">
      <c r="B962" s="64"/>
    </row>
    <row r="963">
      <c r="B963" s="64"/>
    </row>
    <row r="964">
      <c r="B964" s="64"/>
    </row>
    <row r="965">
      <c r="B965" s="64"/>
    </row>
    <row r="966">
      <c r="B966" s="64"/>
    </row>
    <row r="967">
      <c r="B967" s="64"/>
    </row>
    <row r="968">
      <c r="B968" s="64"/>
    </row>
    <row r="969">
      <c r="B969" s="64"/>
    </row>
    <row r="970">
      <c r="B970" s="64"/>
    </row>
    <row r="971">
      <c r="B971" s="64"/>
    </row>
    <row r="972">
      <c r="B972" s="64"/>
    </row>
    <row r="973">
      <c r="B973" s="64"/>
    </row>
    <row r="974">
      <c r="B974" s="64"/>
    </row>
    <row r="975">
      <c r="B975" s="64"/>
    </row>
    <row r="976">
      <c r="B976" s="64"/>
    </row>
    <row r="977">
      <c r="B977" s="64"/>
    </row>
    <row r="978">
      <c r="B978" s="64"/>
    </row>
    <row r="979">
      <c r="B979" s="64"/>
    </row>
    <row r="980">
      <c r="B980" s="64"/>
    </row>
    <row r="981">
      <c r="B981" s="64"/>
    </row>
    <row r="982">
      <c r="B982" s="64"/>
    </row>
    <row r="983">
      <c r="B983" s="64"/>
    </row>
    <row r="984">
      <c r="B984" s="64"/>
    </row>
    <row r="985">
      <c r="B985" s="64"/>
    </row>
    <row r="986">
      <c r="B986" s="64"/>
    </row>
    <row r="987">
      <c r="B987" s="64"/>
    </row>
    <row r="988">
      <c r="B988" s="64"/>
    </row>
    <row r="989">
      <c r="B989" s="64"/>
    </row>
    <row r="990">
      <c r="B990" s="64"/>
    </row>
    <row r="991">
      <c r="B991" s="64"/>
    </row>
    <row r="992">
      <c r="B992" s="64"/>
    </row>
    <row r="993">
      <c r="B993" s="64"/>
    </row>
    <row r="994">
      <c r="B994" s="64"/>
    </row>
    <row r="995">
      <c r="B995" s="64"/>
    </row>
    <row r="996">
      <c r="B996" s="64"/>
    </row>
    <row r="997">
      <c r="B997" s="64"/>
    </row>
    <row r="998">
      <c r="B998" s="64"/>
    </row>
    <row r="999">
      <c r="B999" s="64"/>
    </row>
    <row r="1000">
      <c r="B1000" s="64"/>
    </row>
  </sheetData>
  <drawing r:id="rId1"/>
</worksheet>
</file>